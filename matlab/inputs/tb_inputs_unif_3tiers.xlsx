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248" documentId="13_ncr:1_{FDDD1D5F-B2A7-4059-BADB-615B92438827}" xr6:coauthVersionLast="47" xr6:coauthVersionMax="47" xr10:uidLastSave="{65EA88A8-A00B-4812-961D-C00195D604F0}"/>
  <bookViews>
    <workbookView xWindow="-108" yWindow="-108" windowWidth="23256" windowHeight="12456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25" i="6"/>
  <c r="C23" i="6"/>
  <c r="C40" i="6"/>
  <c r="C28" i="6"/>
  <c r="C27" i="6"/>
  <c r="C26" i="6"/>
  <c r="C22" i="6"/>
  <c r="C21" i="6"/>
  <c r="C29" i="6"/>
  <c r="C9" i="6"/>
  <c r="C3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<sst xmlns="http://schemas.openxmlformats.org/spreadsheetml/2006/main" count="214" uniqueCount="127">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</sst>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topLeftCell="A40" zoomScale="115" zoomScaleNormal="115" workbookViewId="0">
      <selection activeCell="E57" sqref="E57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6" t="s">
        <v>0</v>
      </c>
      <c r="C2" s="37"/>
      <c r="D2" s="38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5" t="s">
        <v>5</v>
      </c>
      <c r="C5" s="3" t="s">
        <v>6</v>
      </c>
      <c r="D5" s="3"/>
      <c r="E5" s="3">
        <v>0</v>
      </c>
      <c r="F5" s="4"/>
    </row>
    <row r="6" spans="2:7" x14ac:dyDescent="0.3">
      <c r="B6" s="35"/>
      <c r="C6" s="3" t="s">
        <v>7</v>
      </c>
      <c r="D6" s="3"/>
      <c r="E6" s="3">
        <v>0</v>
      </c>
      <c r="F6" s="4"/>
    </row>
    <row r="7" spans="2:7" x14ac:dyDescent="0.3">
      <c r="B7" s="35"/>
      <c r="C7" s="3" t="s">
        <v>8</v>
      </c>
      <c r="D7" s="3" t="s">
        <v>9</v>
      </c>
      <c r="E7" s="3">
        <v>1</v>
      </c>
      <c r="F7" s="4"/>
    </row>
    <row r="8" spans="2:7" x14ac:dyDescent="0.3">
      <c r="B8" s="35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5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5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5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5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5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5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5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5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5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5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5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5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5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5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5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5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5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5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5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5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5"/>
      <c r="C29" s="3" t="s">
        <v>29</v>
      </c>
      <c r="D29" s="3"/>
      <c r="E29" s="2">
        <v>0</v>
      </c>
      <c r="F29" s="4"/>
    </row>
    <row r="30" spans="2:7" x14ac:dyDescent="0.3">
      <c r="B30" s="35"/>
      <c r="C30" s="3" t="s">
        <v>30</v>
      </c>
      <c r="D30" s="3"/>
      <c r="E30" s="3">
        <v>0</v>
      </c>
      <c r="F30" s="4"/>
    </row>
    <row r="31" spans="2:7" x14ac:dyDescent="0.3">
      <c r="B31" s="35"/>
      <c r="C31" s="3" t="s">
        <v>31</v>
      </c>
      <c r="D31" s="3"/>
      <c r="E31" s="3">
        <v>0</v>
      </c>
      <c r="F31" s="4"/>
    </row>
    <row r="32" spans="2:7" x14ac:dyDescent="0.3">
      <c r="B32" s="35"/>
      <c r="C32" s="3" t="s">
        <v>32</v>
      </c>
      <c r="D32" s="21"/>
      <c r="E32" s="3">
        <v>0</v>
      </c>
      <c r="F32" s="25"/>
    </row>
    <row r="33" spans="2:6" x14ac:dyDescent="0.3">
      <c r="B33" s="35"/>
      <c r="C33" s="3" t="s">
        <v>33</v>
      </c>
      <c r="D33" s="21"/>
      <c r="E33" s="21">
        <v>1</v>
      </c>
      <c r="F33" s="25"/>
    </row>
    <row r="34" spans="2:6" x14ac:dyDescent="0.3">
      <c r="B34" s="35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5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5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5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5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5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5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5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5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5"/>
      <c r="C43" s="3" t="s">
        <v>39</v>
      </c>
      <c r="D43" s="21"/>
      <c r="E43" s="21">
        <v>0</v>
      </c>
      <c r="F43" s="25"/>
    </row>
    <row r="44" spans="2:6" x14ac:dyDescent="0.3">
      <c r="B44" s="35"/>
      <c r="C44" s="3" t="s">
        <v>40</v>
      </c>
      <c r="D44" s="21"/>
      <c r="E44" s="21">
        <v>1</v>
      </c>
      <c r="F44" s="25"/>
    </row>
    <row r="45" spans="2:6" x14ac:dyDescent="0.3">
      <c r="B45" s="35"/>
      <c r="C45" s="3" t="s">
        <v>41</v>
      </c>
      <c r="D45" s="21"/>
      <c r="E45" s="21">
        <v>0</v>
      </c>
      <c r="F45" s="25"/>
    </row>
    <row r="46" spans="2:6" x14ac:dyDescent="0.3">
      <c r="B46" s="35"/>
      <c r="C46" s="3" t="s">
        <v>42</v>
      </c>
      <c r="D46" s="21"/>
      <c r="E46" s="21">
        <v>1</v>
      </c>
      <c r="F46" s="25"/>
    </row>
    <row r="47" spans="2:6" x14ac:dyDescent="0.3">
      <c r="B47" s="35"/>
      <c r="C47" s="3" t="s">
        <v>43</v>
      </c>
      <c r="D47" s="21"/>
      <c r="E47" s="21">
        <v>0</v>
      </c>
      <c r="F47" s="25"/>
    </row>
    <row r="48" spans="2:6" x14ac:dyDescent="0.3">
      <c r="B48" s="35"/>
      <c r="C48" s="3" t="s">
        <v>44</v>
      </c>
      <c r="D48" s="21"/>
      <c r="E48" s="21">
        <v>0</v>
      </c>
      <c r="F48" s="25"/>
    </row>
    <row r="49" spans="2:6" x14ac:dyDescent="0.3">
      <c r="B49" s="35"/>
      <c r="C49" s="3" t="s">
        <v>45</v>
      </c>
      <c r="D49" s="21"/>
      <c r="E49" s="21">
        <v>0</v>
      </c>
      <c r="F49" s="25"/>
    </row>
    <row r="50" spans="2:6" x14ac:dyDescent="0.3">
      <c r="B50" s="35"/>
      <c r="C50" s="3" t="s">
        <v>46</v>
      </c>
      <c r="D50" s="21"/>
      <c r="E50" s="21">
        <v>0</v>
      </c>
      <c r="F50" s="25"/>
    </row>
    <row r="51" spans="2:6" x14ac:dyDescent="0.3">
      <c r="B51" s="35"/>
      <c r="C51" s="3" t="s">
        <v>47</v>
      </c>
      <c r="D51" s="21"/>
      <c r="E51" s="21">
        <v>0</v>
      </c>
      <c r="F51" s="25"/>
    </row>
    <row r="52" spans="2:6" x14ac:dyDescent="0.3">
      <c r="B52" s="35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5"/>
      <c r="C53" s="3" t="s">
        <v>49</v>
      </c>
      <c r="D53" s="21"/>
      <c r="E53" s="21">
        <v>0</v>
      </c>
      <c r="F53" s="25"/>
    </row>
    <row r="54" spans="2:6" x14ac:dyDescent="0.3">
      <c r="B54" s="35"/>
      <c r="C54" s="3" t="s">
        <v>50</v>
      </c>
      <c r="D54" s="21"/>
      <c r="E54" s="21">
        <v>1</v>
      </c>
      <c r="F54" s="25"/>
    </row>
    <row r="55" spans="2:6" x14ac:dyDescent="0.3">
      <c r="B55" s="35"/>
      <c r="C55" s="3" t="s">
        <v>51</v>
      </c>
      <c r="D55" s="21"/>
      <c r="E55" s="22">
        <v>9.9999999999999995E-8</v>
      </c>
      <c r="F55" s="25"/>
    </row>
    <row r="56" spans="2:6" x14ac:dyDescent="0.3">
      <c r="B56" s="35"/>
      <c r="C56" s="3" t="s">
        <v>52</v>
      </c>
      <c r="D56" s="21"/>
      <c r="E56" s="22">
        <v>2.5000000000000001E-11</v>
      </c>
      <c r="F56" s="25"/>
    </row>
    <row r="57" spans="2:6" x14ac:dyDescent="0.3">
      <c r="B57" s="35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opLeftCell="A19" zoomScaleNormal="100" workbookViewId="0"/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40" t="s">
        <v>0</v>
      </c>
      <c r="C3" s="40"/>
      <c r="D3" s="40"/>
      <c r="E3" s="39" t="s">
        <v>1</v>
      </c>
      <c r="F3" s="39"/>
      <c r="G3" s="39"/>
      <c r="H3" s="39"/>
      <c r="I3" s="39"/>
      <c r="J3" s="39"/>
      <c r="K3" s="39"/>
      <c r="L3" s="39"/>
    </row>
    <row r="4" spans="2:20" x14ac:dyDescent="0.3">
      <c r="B4" s="35" t="s">
        <v>8</v>
      </c>
      <c r="C4" s="39" t="s">
        <v>56</v>
      </c>
      <c r="D4" s="39"/>
      <c r="E4" s="31"/>
      <c r="F4" s="7"/>
      <c r="G4" s="7"/>
    </row>
    <row r="5" spans="2:20" x14ac:dyDescent="0.3">
      <c r="B5" s="35"/>
      <c r="C5" s="35" t="s">
        <v>9</v>
      </c>
      <c r="D5" s="35"/>
      <c r="E5" s="3">
        <v>3</v>
      </c>
    </row>
    <row r="6" spans="2:20" x14ac:dyDescent="0.3">
      <c r="B6" s="35"/>
      <c r="C6" s="39" t="s">
        <v>57</v>
      </c>
      <c r="D6" s="39"/>
      <c r="E6" s="3"/>
      <c r="N6" s="9"/>
      <c r="O6" s="9"/>
      <c r="P6" s="9"/>
      <c r="Q6" s="9"/>
    </row>
    <row r="7" spans="2:20" x14ac:dyDescent="0.3">
      <c r="B7" s="35"/>
      <c r="C7" s="35" t="s">
        <v>11</v>
      </c>
      <c r="D7" s="35"/>
      <c r="E7" s="33">
        <v>8.6999999999999994E-3</v>
      </c>
      <c r="O7" s="9"/>
      <c r="P7" s="9"/>
      <c r="Q7" s="9"/>
      <c r="R7" s="9"/>
    </row>
    <row r="8" spans="2:20" x14ac:dyDescent="0.3">
      <c r="B8" s="35"/>
      <c r="C8" s="35" t="s">
        <v>12</v>
      </c>
      <c r="D8" s="35"/>
      <c r="E8" s="33">
        <v>8.6999999999999994E-3</v>
      </c>
      <c r="K8" s="9"/>
      <c r="L8" s="9"/>
      <c r="M8" s="9"/>
      <c r="N8" s="9"/>
    </row>
    <row r="9" spans="2:20" x14ac:dyDescent="0.3">
      <c r="B9" s="35"/>
      <c r="C9" s="39" t="s">
        <v>58</v>
      </c>
      <c r="D9" s="39"/>
      <c r="E9" s="2"/>
      <c r="L9" s="9"/>
      <c r="M9" s="9"/>
      <c r="N9" s="9"/>
      <c r="O9" s="9"/>
    </row>
    <row r="10" spans="2:20" x14ac:dyDescent="0.3">
      <c r="B10" s="35"/>
      <c r="C10" s="35" t="s">
        <v>59</v>
      </c>
      <c r="D10" s="3" t="s">
        <v>9</v>
      </c>
      <c r="E10" s="3">
        <v>4</v>
      </c>
      <c r="F10" s="3">
        <v>4</v>
      </c>
      <c r="G10" s="4">
        <v>4</v>
      </c>
    </row>
    <row r="11" spans="2:20" x14ac:dyDescent="0.3">
      <c r="B11" s="35"/>
      <c r="C11" s="35"/>
      <c r="D11" s="3" t="s">
        <v>60</v>
      </c>
      <c r="E11" s="2">
        <v>1.7999999999999999E-8</v>
      </c>
      <c r="F11" s="29">
        <v>1.7999999999999999E-8</v>
      </c>
      <c r="G11" s="29">
        <v>1.7999999999999999E-8</v>
      </c>
    </row>
    <row r="12" spans="2:20" x14ac:dyDescent="0.3">
      <c r="B12" s="35"/>
      <c r="C12" s="35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  <c r="M12" s="34">
        <v>1.8</v>
      </c>
      <c r="N12" s="34">
        <v>1.8</v>
      </c>
      <c r="O12" s="34">
        <v>1.8</v>
      </c>
      <c r="P12" s="34">
        <v>0.4</v>
      </c>
    </row>
    <row r="13" spans="2:20" x14ac:dyDescent="0.3">
      <c r="B13" s="35"/>
      <c r="C13" s="35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2">
        <v>1.6E-7</v>
      </c>
      <c r="N13" s="2">
        <v>1.6E-7</v>
      </c>
      <c r="O13" s="2">
        <v>3.5999999999999999E-7</v>
      </c>
      <c r="P13" s="2">
        <v>3.0000000000000001E-5</v>
      </c>
      <c r="Q13" s="9"/>
      <c r="R13" s="9"/>
      <c r="S13" s="9"/>
      <c r="T13" s="9"/>
    </row>
    <row r="14" spans="2:20" x14ac:dyDescent="0.3">
      <c r="B14" s="35"/>
      <c r="C14" s="35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2">
        <v>1.4399999999999999E-7</v>
      </c>
      <c r="N14" s="2">
        <v>1.4399999999999999E-7</v>
      </c>
      <c r="O14" s="2">
        <v>3.2399999999999999E-7</v>
      </c>
      <c r="P14" s="2">
        <v>6.9999999999999999E-6</v>
      </c>
      <c r="Q14" s="9"/>
      <c r="R14" s="9"/>
      <c r="S14" s="9"/>
      <c r="T14" s="9"/>
    </row>
    <row r="15" spans="2:20" x14ac:dyDescent="0.3">
      <c r="B15" s="35"/>
      <c r="C15" s="39" t="s">
        <v>63</v>
      </c>
      <c r="D15" s="39"/>
      <c r="E15" s="3"/>
    </row>
    <row r="16" spans="2:20" x14ac:dyDescent="0.3">
      <c r="B16" s="35"/>
      <c r="C16" s="35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  <c r="M16" s="34">
        <v>0.42530000000000001</v>
      </c>
      <c r="N16" s="34">
        <v>0.42530000000000001</v>
      </c>
      <c r="O16" s="34">
        <v>0.189</v>
      </c>
      <c r="P16" s="34">
        <v>0</v>
      </c>
    </row>
    <row r="17" spans="2:20" x14ac:dyDescent="0.3">
      <c r="B17" s="35"/>
      <c r="C17" s="35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2">
        <v>4000000000</v>
      </c>
      <c r="N17" s="2">
        <v>4000000000</v>
      </c>
      <c r="O17" s="2">
        <v>800000000</v>
      </c>
      <c r="P17" s="2">
        <v>100000</v>
      </c>
      <c r="Q17" s="9"/>
      <c r="R17" s="9"/>
      <c r="S17" s="9"/>
      <c r="T17" s="9"/>
    </row>
    <row r="18" spans="2:20" x14ac:dyDescent="0.3">
      <c r="B18" s="35"/>
      <c r="C18" s="39" t="s">
        <v>66</v>
      </c>
      <c r="D18" s="39"/>
      <c r="E18" s="3"/>
    </row>
    <row r="19" spans="2:20" x14ac:dyDescent="0.3">
      <c r="B19" s="35"/>
      <c r="C19" s="35" t="s">
        <v>67</v>
      </c>
      <c r="D19" s="35"/>
      <c r="E19" s="3">
        <v>0.05</v>
      </c>
      <c r="F19" s="3">
        <v>0.05</v>
      </c>
      <c r="G19" s="34">
        <v>0.05</v>
      </c>
    </row>
    <row r="20" spans="2:20" x14ac:dyDescent="0.3">
      <c r="B20" s="35"/>
      <c r="C20" s="35" t="s">
        <v>68</v>
      </c>
      <c r="D20" s="35"/>
      <c r="E20" s="2">
        <v>8.9999999999999999E-10</v>
      </c>
      <c r="F20" s="11">
        <v>8.9999999999999999E-10</v>
      </c>
      <c r="G20" s="11">
        <v>8.9999999999999999E-10</v>
      </c>
    </row>
    <row r="21" spans="2:20" x14ac:dyDescent="0.3">
      <c r="B21" s="35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0" x14ac:dyDescent="0.3">
      <c r="B22" s="35"/>
      <c r="C22" s="35" t="s">
        <v>70</v>
      </c>
      <c r="D22" s="35"/>
      <c r="E22" s="2">
        <v>0.5</v>
      </c>
      <c r="F22" s="6">
        <v>0.5</v>
      </c>
      <c r="G22" s="6">
        <v>0.5</v>
      </c>
    </row>
    <row r="23" spans="2:20" x14ac:dyDescent="0.3">
      <c r="B23" s="35"/>
      <c r="C23" s="35" t="s">
        <v>71</v>
      </c>
      <c r="D23" s="35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5"/>
      <c r="C24" s="35"/>
      <c r="D24" s="35"/>
      <c r="E24" s="2"/>
      <c r="F24" s="10"/>
      <c r="G24" s="1"/>
      <c r="H24" s="1"/>
      <c r="I24" s="1"/>
      <c r="J24" s="3"/>
    </row>
    <row r="25" spans="2:20" x14ac:dyDescent="0.3">
      <c r="B25" s="35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0" x14ac:dyDescent="0.3">
      <c r="B26" s="35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5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5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5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5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5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5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5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5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5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5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5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5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5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5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5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5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5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5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5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5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5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5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5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5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5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5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5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5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B3:D3"/>
    <mergeCell ref="C5:D5"/>
    <mergeCell ref="C4:D4"/>
    <mergeCell ref="C6:D6"/>
    <mergeCell ref="B4:B54"/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topLeftCell="A31" zoomScaleNormal="100" workbookViewId="0">
      <selection activeCell="C45" sqref="C45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1" t="s">
        <v>88</v>
      </c>
      <c r="C3" s="41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0.001*6.91482042274252</f>
        <v>6.9148204227425202E-3</v>
      </c>
    </row>
    <row r="10" spans="2:3" x14ac:dyDescent="0.3">
      <c r="B10" t="s">
        <v>94</v>
      </c>
      <c r="C10" s="18">
        <v>0</v>
      </c>
    </row>
    <row r="11" spans="2:3" x14ac:dyDescent="0.3">
      <c r="B11" t="s">
        <v>95</v>
      </c>
      <c r="C11" s="17">
        <v>57.264154994554389</v>
      </c>
    </row>
    <row r="12" spans="2:3" x14ac:dyDescent="0.3">
      <c r="B12" t="s">
        <v>96</v>
      </c>
      <c r="C12" s="17">
        <v>3.7621133024499995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5375</v>
      </c>
    </row>
    <row r="19" spans="2:3" x14ac:dyDescent="0.3">
      <c r="B19" t="s">
        <v>102</v>
      </c>
      <c r="C19" s="17">
        <v>125</v>
      </c>
    </row>
    <row r="20" spans="2:3" x14ac:dyDescent="0.3">
      <c r="B20" t="s">
        <v>103</v>
      </c>
      <c r="C20" s="17">
        <v>43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0.001*0.0000897513157878832</f>
        <v>8.9751315787883206E-8</v>
      </c>
    </row>
    <row r="23" spans="2:3" x14ac:dyDescent="0.3">
      <c r="B23" t="s">
        <v>106</v>
      </c>
      <c r="C23" s="18">
        <f>0.001*0.0198842472737334</f>
        <v>1.9884247273733402E-5</v>
      </c>
    </row>
    <row r="24" spans="2:3" x14ac:dyDescent="0.3">
      <c r="B24" t="s">
        <v>107</v>
      </c>
      <c r="C24" s="17">
        <v>5.2744086066279072E-3</v>
      </c>
    </row>
    <row r="25" spans="2:3" x14ac:dyDescent="0.3">
      <c r="B25" t="s">
        <v>108</v>
      </c>
      <c r="C25" s="18">
        <f>0.001*6.54481635758796</f>
        <v>6.5448163575879603E-3</v>
      </c>
    </row>
    <row r="26" spans="2:3" x14ac:dyDescent="0.3">
      <c r="B26" t="s">
        <v>109</v>
      </c>
      <c r="C26" s="18">
        <f>0.001*0.17000406515456</f>
        <v>1.7000406515456002E-4</v>
      </c>
    </row>
    <row r="27" spans="2:3" x14ac:dyDescent="0.3">
      <c r="B27" t="s">
        <v>110</v>
      </c>
      <c r="C27" s="18">
        <f>0.001*6.66812661596871</f>
        <v>6.66812661596871E-3</v>
      </c>
    </row>
    <row r="28" spans="2:3" x14ac:dyDescent="0.3">
      <c r="B28" t="s">
        <v>111</v>
      </c>
      <c r="C28" s="18">
        <f>0.001*0.246693806773803</f>
        <v>2.4669380677380301E-4</v>
      </c>
    </row>
    <row r="29" spans="2:3" x14ac:dyDescent="0.3">
      <c r="B29" t="s">
        <v>112</v>
      </c>
      <c r="C29" s="18">
        <f>C10</f>
        <v>0</v>
      </c>
    </row>
    <row r="30" spans="2:3" x14ac:dyDescent="0.3">
      <c r="B30" t="s">
        <v>113</v>
      </c>
      <c r="C30" s="17">
        <v>0.17579023204312502</v>
      </c>
    </row>
    <row r="31" spans="2:3" x14ac:dyDescent="0.3">
      <c r="B31" t="s">
        <v>114</v>
      </c>
      <c r="C31" s="17">
        <v>2.2356885048828126E-2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0.001*0.0122579118668095</f>
        <v>1.2257911866809501E-5</v>
      </c>
    </row>
    <row r="41" spans="2:3" x14ac:dyDescent="0.3">
      <c r="B41" t="s">
        <v>123</v>
      </c>
      <c r="C41" s="18">
        <f>0.001*0.0155323185240471</f>
        <v>1.55323185240471E-5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0</v>
      </c>
    </row>
    <row r="44" spans="2:3" x14ac:dyDescent="0.3">
      <c r="B44" t="s">
        <v>126</v>
      </c>
      <c r="C44" s="18">
        <f>0.001*6.71482042274252</f>
        <v>6.7148204227425196E-3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Ankit Kaul</cp:lastModifiedBy>
  <cp:revision/>
  <dcterms:created xsi:type="dcterms:W3CDTF">2015-06-05T18:17:20Z</dcterms:created>
  <dcterms:modified xsi:type="dcterms:W3CDTF">2022-11-21T12:58:26Z</dcterms:modified>
  <cp:category/>
  <cp:contentStatus/>
</cp:coreProperties>
</file>