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김태훈\Desktop\아빠\visiting researcher\GT\myrun\study\01_HI\inputs\"/>
    </mc:Choice>
  </mc:AlternateContent>
  <xr:revisionPtr revIDLastSave="0" documentId="13_ncr:1_{647EF095-27B4-454E-B5EC-D3804AB15670}" xr6:coauthVersionLast="47" xr6:coauthVersionMax="47" xr10:uidLastSave="{00000000-0000-0000-0000-000000000000}"/>
  <bookViews>
    <workbookView xWindow="3480" yWindow="0" windowWidth="17280" windowHeight="12360" activeTab="1" xr2:uid="{00000000-000D-0000-FFFF-FFFF00000000}"/>
  </bookViews>
  <sheets>
    <sheet name="system" sheetId="2" r:id="rId1"/>
    <sheet name="chip" sheetId="3" r:id="rId2"/>
    <sheet name="block_layout_specs" sheetId="6" r:id="rId3"/>
    <sheet name="Sheet1" sheetId="7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2" l="1"/>
  <c r="H16" i="2"/>
  <c r="H14" i="2"/>
  <c r="J19" i="7"/>
  <c r="J18" i="7"/>
  <c r="C44" i="6"/>
  <c r="C39" i="6"/>
  <c r="C25" i="6"/>
  <c r="C21" i="6"/>
  <c r="C43" i="6"/>
  <c r="C29" i="6"/>
  <c r="C10" i="6"/>
  <c r="D9" i="6"/>
  <c r="C9" i="6"/>
  <c r="J20" i="7" l="1"/>
  <c r="C7" i="6"/>
  <c r="E32" i="3" l="1"/>
  <c r="E28" i="3"/>
  <c r="E17" i="2"/>
  <c r="G13" i="2"/>
  <c r="F13" i="2"/>
  <c r="E10" i="2"/>
</calcChain>
</file>

<file path=xl/sharedStrings.xml><?xml version="1.0" encoding="utf-8"?>
<sst xmlns="http://schemas.openxmlformats.org/spreadsheetml/2006/main" count="221" uniqueCount="130">
  <si>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</si>
  <si>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</si>
  <si>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</si>
  <si>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</si>
  <si>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</si>
  <si>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</si>
  <si>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</si>
  <si>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</si>
  <si>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</si>
  <si>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</si>
  <si>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</si>
  <si>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</si>
  <si>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</si>
  <si>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</si>
  <si>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</si>
  <si>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</si>
  <si>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</si>
  <si>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</si>
  <si>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</si>
  <si>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</si>
  <si>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</si>
  <si>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</si>
  <si>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</si>
  <si>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</si>
  <si>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</si>
  <si>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</si>
  <si>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</si>
  <si>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</si>
  <si>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</si>
  <si>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</si>
  <si>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</si>
  <si>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</si>
  <si>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</si>
  <si>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</si>
  <si>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</si>
  <si>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</si>
  <si>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</si>
  <si>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</si>
  <si>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</si>
  <si>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</si>
  <si>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</si>
  <si>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</si>
  <si>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</si>
  <si>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</si>
  <si>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</si>
  <si>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</si>
  <si>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</si>
  <si>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</si>
  <si>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</si>
  <si>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</si>
  <si>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</si>
  <si>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</si>
  <si>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</si>
  <si>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</si>
  <si>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</si>
  <si>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</si>
  <si>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</si>
  <si>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</si>
  <si>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</si>
  <si>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</si>
  <si>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</si>
  <si>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</si>
  <si>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</si>
  <si>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</si>
  <si>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</si>
  <si>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</si>
  <si>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</si>
  <si>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</si>
  <si>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</si>
  <si>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</si>
  <si>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</si>
  <si>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</si>
  <si>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</si>
  <si>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</si>
  <si>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</si>
  <si>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</si>
  <si>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</si>
  <si>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</si>
  <si>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</si>
  <si>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</si>
  <si>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</si>
  <si>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</si>
  <si>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</si>
  <si>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</si>
  <si>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</si>
  <si>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</si>
  <si>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</si>
  <si>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</si>
  <si>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</si>
  <si>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</si>
  <si>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TSV diameter</t>
  </si>
  <si>
    <t>Power</t>
  </si>
  <si>
    <t>chip size (x and y)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</si>
  <si>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</si>
  <si>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</si>
  <si>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</si>
  <si>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</si>
  <si>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</si>
  <si>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</si>
  <si>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</si>
  <si>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</si>
  <si>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</si>
  <si>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</si>
  <si>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</si>
  <si>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</si>
  <si>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</si>
  <si>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</si>
  <si>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</si>
  <si>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</si>
  <si>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</si>
  <si>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</si>
  <si>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</si>
  <si>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</si>
  <si>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</si>
  <si>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</si>
  <si>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</si>
  <si>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</si>
  <si>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</si>
  <si>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</si>
  <si>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</si>
  <si>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</si>
  <si>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</si>
  <si>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</si>
  <si>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</si>
  <si>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</si>
  <si>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</si>
  <si>
    <t>TSV pitch</t>
  </si>
  <si>
    <t>Substrate thickness (TSV height)</t>
  </si>
  <si>
    <t>50u</t>
    <phoneticPr fontId="5" type="noConversion"/>
  </si>
  <si>
    <t>200u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</si>
</sst>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"/>
    <numFmt numFmtId="179" formatCode="0.000000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1" fontId="3" fillId="0" borderId="9" xfId="0" applyNumberFormat="1" applyFont="1" applyBorder="1" applyAlignment="1">
      <alignment horizontal="center"/>
    </xf>
    <xf numFmtId="11" fontId="3" fillId="0" borderId="8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9" fontId="0" fillId="0" borderId="0" xfId="0" applyNumberFormat="1"/>
  </cellXfs>
  <cellStyles count="2">
    <cellStyle name="Normal 3" xfId="1" xr:uid="{E46DA7CF-7516-47F1-84A0-ECCD6FAEEA4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I57"/>
  <sheetViews>
    <sheetView topLeftCell="A10" zoomScale="115" zoomScaleNormal="115" workbookViewId="0">
      <selection activeCell="E12" sqref="E12"/>
    </sheetView>
  </sheetViews>
  <sheetFormatPr defaultRowHeight="17.399999999999999" x14ac:dyDescent="0.4"/>
  <cols>
    <col min="2" max="3" width="14" customWidth="1"/>
    <col min="4" max="4" width="9.3984375" bestFit="1" customWidth="1"/>
    <col min="5" max="5" width="21.296875" customWidth="1"/>
    <col min="7" max="7" width="12.296875" bestFit="1" customWidth="1"/>
    <col min="9" max="9" width="10" bestFit="1" customWidth="1"/>
  </cols>
  <sheetData>
    <row r="1" spans="2:9" ht="18" thickBot="1" x14ac:dyDescent="0.45"/>
    <row r="2" spans="2:9" ht="18" thickBot="1" x14ac:dyDescent="0.45">
      <c r="B2" s="38" t="s">
        <v>0</v>
      </c>
      <c r="C2" s="39"/>
      <c r="D2" s="40"/>
      <c r="E2" s="13" t="s">
        <v>1</v>
      </c>
      <c r="F2" s="14" t="s">
        <v>2</v>
      </c>
    </row>
    <row r="3" spans="2:9" x14ac:dyDescent="0.4">
      <c r="B3" s="1" t="s">
        <v>3</v>
      </c>
      <c r="C3" s="1"/>
      <c r="D3" s="1"/>
      <c r="E3" s="27">
        <v>9.9999999999999995E-7</v>
      </c>
      <c r="F3" s="7"/>
    </row>
    <row r="4" spans="2:9" x14ac:dyDescent="0.4">
      <c r="B4" s="3" t="s">
        <v>4</v>
      </c>
      <c r="C4" s="3"/>
      <c r="D4" s="3"/>
      <c r="E4" s="2">
        <v>0.01</v>
      </c>
      <c r="F4" s="7"/>
    </row>
    <row r="5" spans="2:9" x14ac:dyDescent="0.4">
      <c r="B5" s="37" t="s">
        <v>5</v>
      </c>
      <c r="C5" s="3" t="s">
        <v>6</v>
      </c>
      <c r="D5" s="3"/>
      <c r="E5" s="3">
        <v>0</v>
      </c>
      <c r="F5" s="4"/>
    </row>
    <row r="6" spans="2:9" x14ac:dyDescent="0.4">
      <c r="B6" s="37"/>
      <c r="C6" s="3" t="s">
        <v>7</v>
      </c>
      <c r="D6" s="3"/>
      <c r="E6" s="3">
        <v>0</v>
      </c>
      <c r="F6" s="4"/>
    </row>
    <row r="7" spans="2:9" x14ac:dyDescent="0.4">
      <c r="B7" s="37"/>
      <c r="C7" s="3" t="s">
        <v>8</v>
      </c>
      <c r="D7" s="3" t="s">
        <v>9</v>
      </c>
      <c r="E7" s="3">
        <v>1</v>
      </c>
      <c r="F7" s="4"/>
    </row>
    <row r="8" spans="2:9" x14ac:dyDescent="0.4">
      <c r="B8" s="37"/>
      <c r="C8" s="3" t="s">
        <v>10</v>
      </c>
      <c r="D8" s="3" t="s">
        <v>11</v>
      </c>
      <c r="E8" s="2">
        <v>3.5000000000000001E-3</v>
      </c>
      <c r="F8" s="4"/>
      <c r="G8" s="30"/>
      <c r="H8" s="36"/>
      <c r="I8" s="36"/>
    </row>
    <row r="9" spans="2:9" x14ac:dyDescent="0.4">
      <c r="B9" s="37"/>
      <c r="C9" s="3" t="s">
        <v>10</v>
      </c>
      <c r="D9" s="3" t="s">
        <v>12</v>
      </c>
      <c r="E9" s="2">
        <v>3.5000000000000001E-3</v>
      </c>
      <c r="F9" s="4"/>
      <c r="H9" s="36"/>
      <c r="I9" s="36"/>
    </row>
    <row r="10" spans="2:9" x14ac:dyDescent="0.4">
      <c r="B10" s="37"/>
      <c r="C10" s="3" t="s">
        <v>10</v>
      </c>
      <c r="D10" s="3" t="s">
        <v>13</v>
      </c>
      <c r="E10" s="2">
        <f>0.00000018</f>
        <v>1.8E-7</v>
      </c>
      <c r="F10" s="4"/>
    </row>
    <row r="11" spans="2:9" x14ac:dyDescent="0.4">
      <c r="B11" s="37"/>
      <c r="C11" s="3" t="s">
        <v>10</v>
      </c>
      <c r="D11" s="3" t="s">
        <v>9</v>
      </c>
      <c r="E11" s="3">
        <v>4</v>
      </c>
      <c r="F11" s="4"/>
    </row>
    <row r="12" spans="2:9" x14ac:dyDescent="0.4">
      <c r="B12" s="37"/>
      <c r="C12" s="3" t="s">
        <v>10</v>
      </c>
      <c r="D12" s="3" t="s">
        <v>14</v>
      </c>
      <c r="E12" s="2">
        <v>2.0000000000000002E-5</v>
      </c>
      <c r="F12" s="4"/>
    </row>
    <row r="13" spans="2:9" x14ac:dyDescent="0.4">
      <c r="B13" s="37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8">
        <f>0.0000005415/8</f>
        <v>6.7687500000000003E-8</v>
      </c>
    </row>
    <row r="14" spans="2:9" x14ac:dyDescent="0.4">
      <c r="B14" s="37"/>
      <c r="C14" s="3" t="s">
        <v>10</v>
      </c>
      <c r="D14" s="3" t="s">
        <v>16</v>
      </c>
      <c r="E14" s="8">
        <v>1.0000000000000001E-9</v>
      </c>
      <c r="F14" s="4"/>
      <c r="G14" s="8">
        <v>9.9999999999999995E-7</v>
      </c>
      <c r="H14" s="3">
        <f>1.2/100</f>
        <v>1.2E-2</v>
      </c>
      <c r="I14" s="3">
        <v>1.2</v>
      </c>
    </row>
    <row r="15" spans="2:9" x14ac:dyDescent="0.4">
      <c r="B15" s="37"/>
      <c r="C15" s="3" t="s">
        <v>10</v>
      </c>
      <c r="D15" s="3" t="s">
        <v>17</v>
      </c>
      <c r="E15" s="2">
        <v>2.4E-8</v>
      </c>
      <c r="F15" s="4"/>
    </row>
    <row r="16" spans="2:9" x14ac:dyDescent="0.4">
      <c r="B16" s="37"/>
      <c r="C16" s="3" t="s">
        <v>10</v>
      </c>
      <c r="D16" s="3" t="s">
        <v>18</v>
      </c>
      <c r="E16" s="8">
        <v>1.0000000000000001E-9</v>
      </c>
      <c r="F16" s="4"/>
      <c r="G16" s="8">
        <v>9.9999999999999995E-7</v>
      </c>
      <c r="H16" s="8">
        <f>0.0001/2</f>
        <v>5.0000000000000002E-5</v>
      </c>
    </row>
    <row r="17" spans="2:9" x14ac:dyDescent="0.4">
      <c r="B17" s="37"/>
      <c r="C17" s="3" t="s">
        <v>10</v>
      </c>
      <c r="D17" s="3" t="s">
        <v>19</v>
      </c>
      <c r="E17" s="3">
        <f>1000</f>
        <v>1000</v>
      </c>
      <c r="F17" s="4"/>
    </row>
    <row r="18" spans="2:9" x14ac:dyDescent="0.4">
      <c r="B18" s="37"/>
      <c r="C18" s="3" t="s">
        <v>10</v>
      </c>
      <c r="D18" s="3" t="s">
        <v>20</v>
      </c>
      <c r="E18" s="2">
        <v>1.257E-6</v>
      </c>
      <c r="F18" s="4"/>
    </row>
    <row r="19" spans="2:9" x14ac:dyDescent="0.4">
      <c r="B19" s="37"/>
      <c r="C19" s="3" t="s">
        <v>21</v>
      </c>
      <c r="D19" s="3" t="s">
        <v>16</v>
      </c>
      <c r="E19" s="2">
        <v>1.0000000000000001E-9</v>
      </c>
      <c r="F19" s="4"/>
      <c r="H19" s="2">
        <f>0.000166/100</f>
        <v>1.66E-6</v>
      </c>
      <c r="I19" s="51">
        <v>1.66E-4</v>
      </c>
    </row>
    <row r="20" spans="2:9" x14ac:dyDescent="0.4">
      <c r="B20" s="37"/>
      <c r="C20" s="3" t="s">
        <v>21</v>
      </c>
      <c r="D20" s="3" t="s">
        <v>17</v>
      </c>
      <c r="E20" s="2">
        <v>2.0999999999999999E-11</v>
      </c>
      <c r="F20" s="4"/>
    </row>
    <row r="21" spans="2:9" x14ac:dyDescent="0.4">
      <c r="B21" s="37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19">
        <v>1.66E-4</v>
      </c>
    </row>
    <row r="22" spans="2:9" x14ac:dyDescent="0.4">
      <c r="B22" s="37"/>
      <c r="C22" s="3" t="s">
        <v>22</v>
      </c>
      <c r="D22" s="3" t="s">
        <v>23</v>
      </c>
      <c r="E22" s="8">
        <v>1.0000000000000001E-9</v>
      </c>
      <c r="F22" s="4"/>
      <c r="G22" s="8">
        <v>9.9999999999999995E-7</v>
      </c>
      <c r="H22" s="8">
        <v>1.23E-7</v>
      </c>
    </row>
    <row r="23" spans="2:9" x14ac:dyDescent="0.4">
      <c r="B23" s="37"/>
      <c r="C23" s="3" t="s">
        <v>22</v>
      </c>
      <c r="D23" s="3" t="s">
        <v>24</v>
      </c>
      <c r="E23" s="2">
        <v>2.5000000000000001E-4</v>
      </c>
      <c r="F23" s="4"/>
    </row>
    <row r="24" spans="2:9" x14ac:dyDescent="0.4">
      <c r="B24" s="37"/>
      <c r="C24" s="3" t="s">
        <v>22</v>
      </c>
      <c r="D24" s="3" t="s">
        <v>25</v>
      </c>
      <c r="E24" s="2">
        <v>1E-3</v>
      </c>
      <c r="F24" s="4"/>
    </row>
    <row r="25" spans="2:9" x14ac:dyDescent="0.4">
      <c r="B25" s="37"/>
      <c r="C25" s="3" t="s">
        <v>22</v>
      </c>
      <c r="D25" s="3" t="s">
        <v>26</v>
      </c>
      <c r="E25" s="2">
        <v>4.0000000000000002E-4</v>
      </c>
      <c r="F25" s="4"/>
    </row>
    <row r="26" spans="2:9" x14ac:dyDescent="0.4">
      <c r="B26" s="37"/>
      <c r="C26" s="3" t="s">
        <v>22</v>
      </c>
      <c r="D26" s="3" t="s">
        <v>27</v>
      </c>
      <c r="E26" s="2">
        <v>4.0000000000000002E-4</v>
      </c>
      <c r="F26" s="4"/>
    </row>
    <row r="27" spans="2:9" x14ac:dyDescent="0.4">
      <c r="B27" s="37"/>
      <c r="C27" s="3" t="s">
        <v>22</v>
      </c>
      <c r="D27" s="3" t="s">
        <v>20</v>
      </c>
      <c r="E27" s="2">
        <v>1.257E-6</v>
      </c>
      <c r="F27" s="4"/>
    </row>
    <row r="28" spans="2:9" x14ac:dyDescent="0.4">
      <c r="B28" s="37"/>
      <c r="C28" s="3" t="s">
        <v>22</v>
      </c>
      <c r="D28" s="3" t="s">
        <v>28</v>
      </c>
      <c r="E28" s="3">
        <v>1</v>
      </c>
      <c r="F28" s="4"/>
    </row>
    <row r="29" spans="2:9" x14ac:dyDescent="0.4">
      <c r="B29" s="37"/>
      <c r="C29" s="3" t="s">
        <v>29</v>
      </c>
      <c r="D29" s="3"/>
      <c r="E29" s="2">
        <v>0</v>
      </c>
      <c r="F29" s="4"/>
    </row>
    <row r="30" spans="2:9" x14ac:dyDescent="0.4">
      <c r="B30" s="37"/>
      <c r="C30" s="3" t="s">
        <v>30</v>
      </c>
      <c r="D30" s="3"/>
      <c r="E30" s="3">
        <v>0</v>
      </c>
      <c r="F30" s="4"/>
    </row>
    <row r="31" spans="2:9" x14ac:dyDescent="0.4">
      <c r="B31" s="37"/>
      <c r="C31" s="3" t="s">
        <v>31</v>
      </c>
      <c r="D31" s="3"/>
      <c r="E31" s="3">
        <v>0</v>
      </c>
      <c r="F31" s="4"/>
    </row>
    <row r="32" spans="2:9" x14ac:dyDescent="0.4">
      <c r="B32" s="37"/>
      <c r="C32" s="3" t="s">
        <v>32</v>
      </c>
      <c r="D32" s="20"/>
      <c r="E32" s="3">
        <v>0</v>
      </c>
      <c r="F32" s="23"/>
    </row>
    <row r="33" spans="2:6" x14ac:dyDescent="0.4">
      <c r="B33" s="37"/>
      <c r="C33" s="3" t="s">
        <v>33</v>
      </c>
      <c r="D33" s="20"/>
      <c r="E33" s="20">
        <v>1</v>
      </c>
      <c r="F33" s="23"/>
    </row>
    <row r="34" spans="2:6" x14ac:dyDescent="0.4">
      <c r="B34" s="37"/>
      <c r="C34" s="3" t="s">
        <v>34</v>
      </c>
      <c r="D34" s="20" t="s">
        <v>35</v>
      </c>
      <c r="E34" s="20">
        <v>10</v>
      </c>
      <c r="F34" s="23"/>
    </row>
    <row r="35" spans="2:6" x14ac:dyDescent="0.4">
      <c r="B35" s="37"/>
      <c r="C35" s="3" t="s">
        <v>34</v>
      </c>
      <c r="D35" s="20" t="s">
        <v>24</v>
      </c>
      <c r="E35" s="21">
        <v>1.0000000000000001E-5</v>
      </c>
      <c r="F35" s="23"/>
    </row>
    <row r="36" spans="2:6" x14ac:dyDescent="0.4">
      <c r="B36" s="37"/>
      <c r="C36" s="3" t="s">
        <v>34</v>
      </c>
      <c r="D36" s="20" t="s">
        <v>26</v>
      </c>
      <c r="E36" s="21">
        <v>1E-3</v>
      </c>
      <c r="F36" s="23"/>
    </row>
    <row r="37" spans="2:6" x14ac:dyDescent="0.4">
      <c r="B37" s="37"/>
      <c r="C37" s="3" t="s">
        <v>34</v>
      </c>
      <c r="D37" s="20" t="s">
        <v>27</v>
      </c>
      <c r="E37" s="21">
        <v>1E-3</v>
      </c>
      <c r="F37" s="23"/>
    </row>
    <row r="38" spans="2:6" x14ac:dyDescent="0.4">
      <c r="B38" s="37"/>
      <c r="C38" s="3" t="s">
        <v>34</v>
      </c>
      <c r="D38" s="20" t="s">
        <v>36</v>
      </c>
      <c r="E38" s="20">
        <v>0</v>
      </c>
      <c r="F38" s="23"/>
    </row>
    <row r="39" spans="2:6" x14ac:dyDescent="0.4">
      <c r="B39" s="37"/>
      <c r="C39" s="3" t="s">
        <v>34</v>
      </c>
      <c r="D39" s="20" t="s">
        <v>37</v>
      </c>
      <c r="E39" s="21">
        <v>4.9999999999999998E-7</v>
      </c>
      <c r="F39" s="23"/>
    </row>
    <row r="40" spans="2:6" x14ac:dyDescent="0.4">
      <c r="B40" s="37"/>
      <c r="C40" s="3" t="s">
        <v>34</v>
      </c>
      <c r="D40" s="20" t="s">
        <v>20</v>
      </c>
      <c r="E40" s="21">
        <v>1.257E-6</v>
      </c>
      <c r="F40" s="23"/>
    </row>
    <row r="41" spans="2:6" x14ac:dyDescent="0.4">
      <c r="B41" s="37"/>
      <c r="C41" s="3" t="s">
        <v>34</v>
      </c>
      <c r="D41" s="20" t="s">
        <v>23</v>
      </c>
      <c r="E41" s="21">
        <v>2.9999999999999997E-8</v>
      </c>
      <c r="F41" s="23"/>
    </row>
    <row r="42" spans="2:6" x14ac:dyDescent="0.4">
      <c r="B42" s="37"/>
      <c r="C42" s="3" t="s">
        <v>34</v>
      </c>
      <c r="D42" s="20" t="s">
        <v>38</v>
      </c>
      <c r="E42" s="21">
        <v>1E-4</v>
      </c>
      <c r="F42" s="23"/>
    </row>
    <row r="43" spans="2:6" x14ac:dyDescent="0.4">
      <c r="B43" s="37"/>
      <c r="C43" s="3" t="s">
        <v>39</v>
      </c>
      <c r="D43" s="20"/>
      <c r="E43" s="20">
        <v>0</v>
      </c>
      <c r="F43" s="23"/>
    </row>
    <row r="44" spans="2:6" x14ac:dyDescent="0.4">
      <c r="B44" s="37"/>
      <c r="C44" s="3" t="s">
        <v>40</v>
      </c>
      <c r="D44" s="20"/>
      <c r="E44" s="20">
        <v>1</v>
      </c>
      <c r="F44" s="23"/>
    </row>
    <row r="45" spans="2:6" x14ac:dyDescent="0.4">
      <c r="B45" s="37"/>
      <c r="C45" s="3" t="s">
        <v>41</v>
      </c>
      <c r="D45" s="20"/>
      <c r="E45" s="20">
        <v>0</v>
      </c>
      <c r="F45" s="23"/>
    </row>
    <row r="46" spans="2:6" x14ac:dyDescent="0.4">
      <c r="B46" s="37"/>
      <c r="C46" s="3" t="s">
        <v>42</v>
      </c>
      <c r="D46" s="20"/>
      <c r="E46" s="20">
        <v>1</v>
      </c>
      <c r="F46" s="23"/>
    </row>
    <row r="47" spans="2:6" x14ac:dyDescent="0.4">
      <c r="B47" s="37"/>
      <c r="C47" s="3" t="s">
        <v>43</v>
      </c>
      <c r="D47" s="20"/>
      <c r="E47" s="20">
        <v>0</v>
      </c>
      <c r="F47" s="23"/>
    </row>
    <row r="48" spans="2:6" x14ac:dyDescent="0.4">
      <c r="B48" s="37"/>
      <c r="C48" s="3" t="s">
        <v>44</v>
      </c>
      <c r="D48" s="20"/>
      <c r="E48" s="20">
        <v>1</v>
      </c>
      <c r="F48" s="23"/>
    </row>
    <row r="49" spans="2:6" x14ac:dyDescent="0.4">
      <c r="B49" s="37"/>
      <c r="C49" s="3" t="s">
        <v>45</v>
      </c>
      <c r="D49" s="20"/>
      <c r="E49" s="20">
        <v>0</v>
      </c>
      <c r="F49" s="23"/>
    </row>
    <row r="50" spans="2:6" x14ac:dyDescent="0.4">
      <c r="B50" s="37"/>
      <c r="C50" s="3" t="s">
        <v>46</v>
      </c>
      <c r="D50" s="20"/>
      <c r="E50" s="20">
        <v>1</v>
      </c>
      <c r="F50" s="23"/>
    </row>
    <row r="51" spans="2:6" x14ac:dyDescent="0.4">
      <c r="B51" s="37"/>
      <c r="C51" s="3" t="s">
        <v>47</v>
      </c>
      <c r="D51" s="20"/>
      <c r="E51" s="20">
        <v>1</v>
      </c>
      <c r="F51" s="23"/>
    </row>
    <row r="52" spans="2:6" x14ac:dyDescent="0.4">
      <c r="B52" s="37"/>
      <c r="C52" s="3" t="s">
        <v>48</v>
      </c>
      <c r="D52" s="20"/>
      <c r="E52" s="20">
        <v>0</v>
      </c>
      <c r="F52" s="20">
        <v>300</v>
      </c>
    </row>
    <row r="53" spans="2:6" x14ac:dyDescent="0.4">
      <c r="B53" s="37"/>
      <c r="C53" s="3" t="s">
        <v>49</v>
      </c>
      <c r="D53" s="20"/>
      <c r="E53" s="20">
        <v>0</v>
      </c>
      <c r="F53" s="23"/>
    </row>
    <row r="54" spans="2:6" x14ac:dyDescent="0.4">
      <c r="B54" s="37"/>
      <c r="C54" s="3" t="s">
        <v>50</v>
      </c>
      <c r="D54" s="20"/>
      <c r="E54" s="20">
        <v>1</v>
      </c>
      <c r="F54" s="23"/>
    </row>
    <row r="55" spans="2:6" x14ac:dyDescent="0.4">
      <c r="B55" s="37"/>
      <c r="C55" s="3" t="s">
        <v>51</v>
      </c>
      <c r="D55" s="20"/>
      <c r="E55" s="21">
        <v>9.9999999999999995E-8</v>
      </c>
      <c r="F55" s="23"/>
    </row>
    <row r="56" spans="2:6" x14ac:dyDescent="0.4">
      <c r="B56" s="37"/>
      <c r="C56" s="3" t="s">
        <v>52</v>
      </c>
      <c r="D56" s="20"/>
      <c r="E56" s="21">
        <v>2.5000000000000001E-11</v>
      </c>
      <c r="F56" s="23"/>
    </row>
    <row r="57" spans="2:6" x14ac:dyDescent="0.4">
      <c r="B57" s="37"/>
      <c r="C57" s="3" t="s">
        <v>53</v>
      </c>
      <c r="D57" s="20" t="s">
        <v>54</v>
      </c>
      <c r="E57" s="20">
        <v>0.9</v>
      </c>
      <c r="F57" s="23"/>
    </row>
  </sheetData>
  <mergeCells count="2">
    <mergeCell ref="B5:B57"/>
    <mergeCell ref="B2:D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abSelected="1" topLeftCell="A29" zoomScaleNormal="100" workbookViewId="0">
      <selection activeCell="E43" sqref="E43"/>
    </sheetView>
  </sheetViews>
  <sheetFormatPr defaultColWidth="8.8984375" defaultRowHeight="17.399999999999999" x14ac:dyDescent="0.4"/>
  <cols>
    <col min="1" max="1" width="8.8984375" style="4"/>
    <col min="2" max="2" width="13" style="4" bestFit="1" customWidth="1"/>
    <col min="3" max="3" width="13.296875" style="4" bestFit="1" customWidth="1"/>
    <col min="4" max="4" width="12.69921875" style="4" bestFit="1" customWidth="1"/>
    <col min="5" max="5" width="11.69921875" style="4" bestFit="1" customWidth="1"/>
    <col min="6" max="6" width="10.296875" style="4" customWidth="1"/>
    <col min="7" max="8" width="10.296875" style="4" bestFit="1" customWidth="1"/>
    <col min="9" max="9" width="11.69921875" style="4" customWidth="1"/>
    <col min="10" max="16384" width="8.8984375" style="4"/>
  </cols>
  <sheetData>
    <row r="2" spans="2:20" x14ac:dyDescent="0.4">
      <c r="B2" s="3" t="s">
        <v>55</v>
      </c>
      <c r="C2" s="3">
        <v>1</v>
      </c>
    </row>
    <row r="3" spans="2:20" x14ac:dyDescent="0.4">
      <c r="B3" s="49" t="s">
        <v>0</v>
      </c>
      <c r="C3" s="49"/>
      <c r="D3" s="49"/>
      <c r="E3" s="41" t="s">
        <v>1</v>
      </c>
      <c r="F3" s="41"/>
      <c r="G3" s="41"/>
      <c r="H3" s="41"/>
      <c r="I3" s="41"/>
      <c r="J3" s="41"/>
      <c r="K3" s="41"/>
      <c r="L3" s="41"/>
    </row>
    <row r="4" spans="2:20" x14ac:dyDescent="0.4">
      <c r="B4" s="37" t="s">
        <v>8</v>
      </c>
      <c r="C4" s="41" t="s">
        <v>56</v>
      </c>
      <c r="D4" s="41"/>
      <c r="E4" s="28"/>
      <c r="F4" s="7"/>
      <c r="G4" s="7"/>
    </row>
    <row r="5" spans="2:20" x14ac:dyDescent="0.3">
      <c r="B5" s="37"/>
      <c r="C5" s="42" t="s">
        <v>9</v>
      </c>
      <c r="D5" s="43"/>
      <c r="E5" s="31">
        <v>2</v>
      </c>
      <c r="F5" s="32"/>
      <c r="G5" s="32"/>
      <c r="H5" s="32"/>
      <c r="I5" s="32"/>
      <c r="J5" s="32"/>
      <c r="K5" s="32"/>
      <c r="L5" s="32"/>
    </row>
    <row r="6" spans="2:20" x14ac:dyDescent="0.3">
      <c r="B6" s="37"/>
      <c r="C6" s="44" t="s">
        <v>57</v>
      </c>
      <c r="D6" s="45"/>
      <c r="E6" s="31"/>
      <c r="F6" s="32"/>
      <c r="G6" s="32"/>
      <c r="H6" s="32"/>
      <c r="I6" s="32"/>
      <c r="J6" s="32"/>
      <c r="K6" s="32"/>
      <c r="L6" s="32"/>
      <c r="N6" s="9"/>
      <c r="O6" s="9"/>
      <c r="P6" s="9"/>
      <c r="Q6" s="9"/>
    </row>
    <row r="7" spans="2:20" x14ac:dyDescent="0.3">
      <c r="B7" s="37"/>
      <c r="C7" s="42" t="s">
        <v>11</v>
      </c>
      <c r="D7" s="43"/>
      <c r="E7" s="30">
        <v>2.5000000000000001E-3</v>
      </c>
      <c r="F7" s="32"/>
      <c r="G7" s="32"/>
      <c r="H7" s="32"/>
      <c r="I7" s="32"/>
      <c r="J7" s="32"/>
      <c r="K7" s="32"/>
      <c r="L7" s="32"/>
      <c r="O7" s="9"/>
      <c r="P7" s="9"/>
      <c r="Q7" s="9"/>
      <c r="R7" s="9"/>
    </row>
    <row r="8" spans="2:20" x14ac:dyDescent="0.3">
      <c r="B8" s="37"/>
      <c r="C8" s="42" t="s">
        <v>12</v>
      </c>
      <c r="D8" s="43"/>
      <c r="E8" s="30">
        <v>2.5000000000000001E-3</v>
      </c>
      <c r="F8" s="32"/>
      <c r="G8" s="32"/>
      <c r="H8" s="32"/>
      <c r="I8" s="32"/>
      <c r="J8" s="32"/>
      <c r="K8" s="32"/>
      <c r="L8" s="32"/>
      <c r="M8" s="9"/>
      <c r="N8" s="9"/>
    </row>
    <row r="9" spans="2:20" x14ac:dyDescent="0.3">
      <c r="B9" s="37"/>
      <c r="C9" s="44" t="s">
        <v>58</v>
      </c>
      <c r="D9" s="45"/>
      <c r="E9" s="31"/>
      <c r="F9" s="32"/>
      <c r="G9" s="32"/>
      <c r="H9" s="32"/>
      <c r="I9" s="32"/>
      <c r="J9" s="32"/>
      <c r="K9" s="32"/>
      <c r="L9" s="32"/>
      <c r="M9" s="9"/>
      <c r="N9" s="9"/>
      <c r="O9" s="9"/>
    </row>
    <row r="10" spans="2:20" x14ac:dyDescent="0.3">
      <c r="B10" s="37"/>
      <c r="C10" s="46" t="s">
        <v>59</v>
      </c>
      <c r="D10" s="31" t="s">
        <v>9</v>
      </c>
      <c r="E10" s="31">
        <v>4</v>
      </c>
      <c r="F10" s="31">
        <v>2</v>
      </c>
      <c r="G10" s="32"/>
      <c r="H10" s="32"/>
      <c r="I10" s="32"/>
      <c r="J10" s="32"/>
      <c r="K10" s="32"/>
      <c r="L10" s="32"/>
    </row>
    <row r="11" spans="2:20" x14ac:dyDescent="0.3">
      <c r="B11" s="37"/>
      <c r="C11" s="47"/>
      <c r="D11" s="31" t="s">
        <v>60</v>
      </c>
      <c r="E11" s="30">
        <v>1.7999999999999999E-8</v>
      </c>
      <c r="F11" s="33">
        <v>1.7999999999999999E-8</v>
      </c>
      <c r="G11" s="32"/>
      <c r="H11" s="32"/>
      <c r="I11" s="32"/>
      <c r="J11" s="32"/>
      <c r="K11" s="32"/>
      <c r="L11" s="32"/>
    </row>
    <row r="12" spans="2:20" x14ac:dyDescent="0.3">
      <c r="B12" s="37"/>
      <c r="C12" s="47"/>
      <c r="D12" s="31" t="s">
        <v>61</v>
      </c>
      <c r="E12" s="31">
        <v>1.8</v>
      </c>
      <c r="F12" s="31">
        <v>1.8</v>
      </c>
      <c r="G12" s="31">
        <v>1.8</v>
      </c>
      <c r="H12" s="31">
        <v>0.4</v>
      </c>
      <c r="I12" s="31">
        <v>1.8</v>
      </c>
      <c r="J12" s="31">
        <v>1.8</v>
      </c>
      <c r="K12" s="31">
        <v>1.8</v>
      </c>
      <c r="L12" s="31">
        <v>0.4</v>
      </c>
    </row>
    <row r="13" spans="2:20" x14ac:dyDescent="0.3">
      <c r="B13" s="37"/>
      <c r="C13" s="47"/>
      <c r="D13" s="31" t="s">
        <v>62</v>
      </c>
      <c r="E13" s="30">
        <v>1.6E-7</v>
      </c>
      <c r="F13" s="30">
        <v>1.6E-7</v>
      </c>
      <c r="G13" s="30">
        <v>3.5999999999999999E-7</v>
      </c>
      <c r="H13" s="30">
        <v>3.0000000000000001E-5</v>
      </c>
      <c r="I13" s="30">
        <v>1.6E-7</v>
      </c>
      <c r="J13" s="30">
        <v>1.6E-7</v>
      </c>
      <c r="K13" s="30">
        <v>3.5999999999999999E-7</v>
      </c>
      <c r="L13" s="30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x14ac:dyDescent="0.3">
      <c r="B14" s="37"/>
      <c r="C14" s="48"/>
      <c r="D14" s="31" t="s">
        <v>38</v>
      </c>
      <c r="E14" s="30">
        <v>1.4399999999999999E-7</v>
      </c>
      <c r="F14" s="30">
        <v>1.4399999999999999E-7</v>
      </c>
      <c r="G14" s="30">
        <v>3.2399999999999999E-7</v>
      </c>
      <c r="H14" s="30">
        <v>6.9999999999999999E-6</v>
      </c>
      <c r="I14" s="30">
        <v>1.4399999999999999E-7</v>
      </c>
      <c r="J14" s="30">
        <v>1.4399999999999999E-7</v>
      </c>
      <c r="K14" s="30">
        <v>3.2399999999999999E-7</v>
      </c>
      <c r="L14" s="30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x14ac:dyDescent="0.3">
      <c r="B15" s="37"/>
      <c r="C15" s="44" t="s">
        <v>63</v>
      </c>
      <c r="D15" s="45"/>
      <c r="E15" s="31"/>
      <c r="F15" s="32"/>
      <c r="G15" s="32"/>
      <c r="H15" s="32"/>
      <c r="I15" s="32"/>
      <c r="J15" s="32"/>
      <c r="K15" s="32"/>
      <c r="L15" s="32"/>
    </row>
    <row r="16" spans="2:20" x14ac:dyDescent="0.3">
      <c r="B16" s="37"/>
      <c r="C16" s="46" t="s">
        <v>64</v>
      </c>
      <c r="D16" s="31" t="s">
        <v>65</v>
      </c>
      <c r="E16" s="31">
        <v>0.42530000000000001</v>
      </c>
      <c r="F16" s="31">
        <v>0.42530000000000001</v>
      </c>
      <c r="G16" s="31">
        <v>0.189</v>
      </c>
      <c r="H16" s="31">
        <v>0</v>
      </c>
      <c r="I16" s="31">
        <v>0.42530000000000001</v>
      </c>
      <c r="J16" s="31">
        <v>0.42530000000000001</v>
      </c>
      <c r="K16" s="31">
        <v>0.189</v>
      </c>
      <c r="L16" s="31">
        <v>0</v>
      </c>
    </row>
    <row r="17" spans="2:20" x14ac:dyDescent="0.3">
      <c r="B17" s="37"/>
      <c r="C17" s="48"/>
      <c r="D17" s="31" t="s">
        <v>9</v>
      </c>
      <c r="E17" s="30">
        <v>4000000000</v>
      </c>
      <c r="F17" s="30">
        <v>4000000000</v>
      </c>
      <c r="G17" s="30">
        <v>800000000</v>
      </c>
      <c r="H17" s="30">
        <v>100000</v>
      </c>
      <c r="I17" s="30">
        <v>4000000000</v>
      </c>
      <c r="J17" s="30">
        <v>4000000000</v>
      </c>
      <c r="K17" s="30">
        <v>800000000</v>
      </c>
      <c r="L17" s="30">
        <v>100000</v>
      </c>
      <c r="M17" s="9"/>
      <c r="N17" s="9"/>
      <c r="O17" s="9"/>
      <c r="P17" s="9"/>
      <c r="Q17" s="9"/>
      <c r="R17" s="9"/>
      <c r="S17" s="9"/>
      <c r="T17" s="9"/>
    </row>
    <row r="18" spans="2:20" x14ac:dyDescent="0.3">
      <c r="B18" s="37"/>
      <c r="C18" s="44" t="s">
        <v>66</v>
      </c>
      <c r="D18" s="45"/>
      <c r="E18" s="31"/>
      <c r="F18" s="32"/>
      <c r="G18" s="32"/>
      <c r="H18" s="32"/>
      <c r="I18" s="32"/>
      <c r="J18" s="32"/>
      <c r="K18" s="32"/>
      <c r="L18" s="32"/>
    </row>
    <row r="19" spans="2:20" x14ac:dyDescent="0.3">
      <c r="B19" s="37"/>
      <c r="C19" s="42" t="s">
        <v>67</v>
      </c>
      <c r="D19" s="43"/>
      <c r="E19" s="31">
        <v>0.05</v>
      </c>
      <c r="F19" s="31">
        <v>0.05</v>
      </c>
      <c r="G19" s="32"/>
      <c r="H19" s="32"/>
      <c r="I19" s="32"/>
      <c r="J19" s="32"/>
      <c r="K19" s="32"/>
      <c r="L19" s="32"/>
    </row>
    <row r="20" spans="2:20" x14ac:dyDescent="0.3">
      <c r="B20" s="37"/>
      <c r="C20" s="42" t="s">
        <v>68</v>
      </c>
      <c r="D20" s="43"/>
      <c r="E20" s="30">
        <v>8.9999999999999999E-10</v>
      </c>
      <c r="F20" s="34">
        <v>8.9999999999999999E-10</v>
      </c>
      <c r="G20" s="32"/>
      <c r="H20" s="32"/>
      <c r="I20" s="32"/>
      <c r="J20" s="32"/>
      <c r="K20" s="32"/>
      <c r="L20" s="32"/>
    </row>
    <row r="21" spans="2:20" x14ac:dyDescent="0.3">
      <c r="B21" s="37"/>
      <c r="C21" s="44" t="s">
        <v>69</v>
      </c>
      <c r="D21" s="45"/>
      <c r="E21" s="31"/>
      <c r="F21" s="32"/>
      <c r="G21" s="32"/>
      <c r="H21" s="32"/>
      <c r="I21" s="32"/>
      <c r="J21" s="32"/>
      <c r="K21" s="32"/>
      <c r="L21" s="32"/>
    </row>
    <row r="22" spans="2:20" x14ac:dyDescent="0.3">
      <c r="B22" s="37"/>
      <c r="C22" s="42" t="s">
        <v>70</v>
      </c>
      <c r="D22" s="43"/>
      <c r="E22" s="30">
        <v>30</v>
      </c>
      <c r="F22" s="35">
        <v>30</v>
      </c>
      <c r="G22" s="32"/>
      <c r="H22" s="32"/>
      <c r="I22" s="32"/>
      <c r="J22" s="32"/>
      <c r="K22" s="32"/>
      <c r="L22" s="32"/>
    </row>
    <row r="23" spans="2:20" x14ac:dyDescent="0.4">
      <c r="B23" s="37"/>
      <c r="C23" s="37" t="s">
        <v>71</v>
      </c>
      <c r="D23" s="37"/>
      <c r="E23" s="5" t="s">
        <v>72</v>
      </c>
      <c r="F23" s="15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4">
      <c r="B24" s="37"/>
      <c r="C24" s="37"/>
      <c r="D24" s="37"/>
      <c r="E24" s="2"/>
      <c r="F24" s="10"/>
      <c r="G24" s="1"/>
      <c r="H24" s="1"/>
      <c r="I24" s="1"/>
      <c r="J24" s="3"/>
    </row>
    <row r="25" spans="2:20" x14ac:dyDescent="0.4">
      <c r="B25" s="37"/>
      <c r="C25" s="41" t="s">
        <v>76</v>
      </c>
      <c r="D25" s="41"/>
      <c r="E25" s="25"/>
      <c r="F25" s="26"/>
      <c r="G25" s="26"/>
      <c r="H25" s="26"/>
      <c r="I25" s="26"/>
      <c r="J25" s="26"/>
    </row>
    <row r="26" spans="2:20" x14ac:dyDescent="0.4">
      <c r="B26" s="37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4">
      <c r="B27" s="37"/>
      <c r="C27" s="3" t="s">
        <v>34</v>
      </c>
      <c r="D27" s="3" t="s">
        <v>24</v>
      </c>
      <c r="E27" s="2">
        <v>6.9999999999999999E-6</v>
      </c>
      <c r="F27" s="26"/>
      <c r="G27" s="26"/>
      <c r="H27" s="26"/>
      <c r="I27" s="26"/>
      <c r="J27" s="26"/>
    </row>
    <row r="28" spans="2:20" x14ac:dyDescent="0.4">
      <c r="B28" s="37"/>
      <c r="C28" s="3" t="s">
        <v>34</v>
      </c>
      <c r="D28" s="3" t="s">
        <v>36</v>
      </c>
      <c r="E28" s="3">
        <f>0.45*0.000001^2</f>
        <v>4.5E-13</v>
      </c>
      <c r="F28" s="26"/>
      <c r="G28" s="26"/>
      <c r="H28" s="26"/>
      <c r="I28" s="26"/>
      <c r="J28" s="26"/>
    </row>
    <row r="29" spans="2:20" x14ac:dyDescent="0.4">
      <c r="B29" s="37"/>
      <c r="C29" s="3" t="s">
        <v>34</v>
      </c>
      <c r="D29" s="3" t="s">
        <v>37</v>
      </c>
      <c r="E29" s="2">
        <v>1.9999999999999999E-7</v>
      </c>
      <c r="F29" s="26"/>
      <c r="G29" s="26"/>
      <c r="H29" s="26"/>
      <c r="I29" s="26"/>
      <c r="J29" s="26"/>
    </row>
    <row r="30" spans="2:20" x14ac:dyDescent="0.4">
      <c r="B30" s="37"/>
      <c r="C30" s="3" t="s">
        <v>34</v>
      </c>
      <c r="D30" s="3" t="s">
        <v>20</v>
      </c>
      <c r="E30" s="2">
        <v>1.257E-6</v>
      </c>
      <c r="F30" s="26"/>
      <c r="G30" s="26"/>
      <c r="H30" s="26"/>
      <c r="I30" s="26"/>
      <c r="J30" s="26"/>
    </row>
    <row r="31" spans="2:20" x14ac:dyDescent="0.4">
      <c r="B31" s="37"/>
      <c r="C31" s="3" t="s">
        <v>34</v>
      </c>
      <c r="D31" s="3" t="s">
        <v>23</v>
      </c>
      <c r="E31" s="2">
        <v>1.0000000000000001E-9</v>
      </c>
      <c r="F31" s="26"/>
      <c r="G31" s="26"/>
      <c r="H31" s="26"/>
      <c r="I31" s="2">
        <v>8.0000000000000002E-8</v>
      </c>
      <c r="J31" s="26"/>
    </row>
    <row r="32" spans="2:20" x14ac:dyDescent="0.4">
      <c r="B32" s="37"/>
      <c r="C32" s="3" t="s">
        <v>34</v>
      </c>
      <c r="D32" s="3" t="s">
        <v>38</v>
      </c>
      <c r="E32" s="2">
        <f>block_layout_specs!C5</f>
        <v>1.0000000000000001E-5</v>
      </c>
      <c r="F32" s="26"/>
      <c r="G32" s="26"/>
      <c r="H32" s="26"/>
      <c r="I32" s="26"/>
      <c r="J32" s="26"/>
    </row>
    <row r="33" spans="2:10" x14ac:dyDescent="0.4">
      <c r="B33" s="37"/>
      <c r="C33" s="41" t="s">
        <v>78</v>
      </c>
      <c r="D33" s="41"/>
      <c r="E33" s="2"/>
      <c r="F33" s="26"/>
      <c r="G33" s="26"/>
      <c r="H33" s="26"/>
      <c r="I33" s="26"/>
      <c r="J33" s="26"/>
    </row>
    <row r="34" spans="2:10" x14ac:dyDescent="0.4">
      <c r="B34" s="37"/>
      <c r="C34" s="3" t="s">
        <v>79</v>
      </c>
      <c r="D34" s="3" t="s">
        <v>23</v>
      </c>
      <c r="E34" s="2">
        <v>1.0000000000000001E-9</v>
      </c>
      <c r="G34" s="26"/>
      <c r="H34" s="26"/>
      <c r="I34" s="2">
        <v>3.9999999999999998E-7</v>
      </c>
      <c r="J34" s="26"/>
    </row>
    <row r="35" spans="2:10" x14ac:dyDescent="0.4">
      <c r="B35" s="37"/>
      <c r="C35" s="3" t="s">
        <v>79</v>
      </c>
      <c r="D35" s="3" t="s">
        <v>24</v>
      </c>
      <c r="E35" s="2">
        <v>5.0000000000000002E-5</v>
      </c>
      <c r="F35" s="4" t="s">
        <v>128</v>
      </c>
      <c r="G35" s="26"/>
      <c r="H35" s="26"/>
      <c r="I35" s="26"/>
      <c r="J35" s="26"/>
    </row>
    <row r="36" spans="2:10" x14ac:dyDescent="0.4">
      <c r="B36" s="37"/>
      <c r="C36" s="3" t="s">
        <v>79</v>
      </c>
      <c r="D36" s="3" t="s">
        <v>25</v>
      </c>
      <c r="E36" s="2">
        <v>4.0000000000000003E-5</v>
      </c>
      <c r="G36" s="26"/>
      <c r="H36" s="26"/>
      <c r="I36" s="26"/>
      <c r="J36" s="26"/>
    </row>
    <row r="37" spans="2:10" x14ac:dyDescent="0.4">
      <c r="B37" s="37"/>
      <c r="C37" s="3" t="s">
        <v>79</v>
      </c>
      <c r="D37" s="3" t="s">
        <v>26</v>
      </c>
      <c r="E37" s="2">
        <v>2.0000000000000001E-4</v>
      </c>
      <c r="F37" s="4" t="s">
        <v>129</v>
      </c>
      <c r="G37" s="26"/>
      <c r="H37" s="26"/>
      <c r="I37" s="26"/>
      <c r="J37" s="26"/>
    </row>
    <row r="38" spans="2:10" x14ac:dyDescent="0.4">
      <c r="B38" s="37"/>
      <c r="C38" s="3" t="s">
        <v>79</v>
      </c>
      <c r="D38" s="3" t="s">
        <v>27</v>
      </c>
      <c r="E38" s="2">
        <v>2.0000000000000001E-4</v>
      </c>
      <c r="F38" s="4" t="s">
        <v>129</v>
      </c>
      <c r="G38" s="26"/>
      <c r="H38" s="26"/>
      <c r="I38" s="26"/>
      <c r="J38" s="26"/>
    </row>
    <row r="39" spans="2:10" x14ac:dyDescent="0.4">
      <c r="B39" s="37"/>
      <c r="C39" s="3" t="s">
        <v>79</v>
      </c>
      <c r="D39" s="3" t="s">
        <v>20</v>
      </c>
      <c r="E39" s="2">
        <v>1.257E-6</v>
      </c>
      <c r="G39" s="26"/>
      <c r="H39" s="26"/>
      <c r="I39" s="26"/>
      <c r="J39" s="26"/>
    </row>
    <row r="40" spans="2:10" x14ac:dyDescent="0.4">
      <c r="B40" s="37"/>
      <c r="C40" s="3" t="s">
        <v>79</v>
      </c>
      <c r="D40" s="3" t="s">
        <v>28</v>
      </c>
      <c r="E40" s="3">
        <v>1</v>
      </c>
      <c r="G40" s="26"/>
      <c r="H40" s="26"/>
      <c r="I40" s="26"/>
      <c r="J40" s="26"/>
    </row>
    <row r="41" spans="2:10" x14ac:dyDescent="0.4">
      <c r="B41" s="37"/>
      <c r="C41" s="41" t="s">
        <v>80</v>
      </c>
      <c r="D41" s="41"/>
      <c r="E41" s="2"/>
      <c r="F41" s="26"/>
      <c r="G41" s="26"/>
      <c r="H41" s="26"/>
      <c r="I41" s="26"/>
      <c r="J41" s="26"/>
    </row>
    <row r="42" spans="2:10" x14ac:dyDescent="0.4">
      <c r="B42" s="37"/>
      <c r="C42" s="3" t="s">
        <v>81</v>
      </c>
      <c r="D42" s="3" t="s">
        <v>23</v>
      </c>
      <c r="E42" s="2">
        <v>1.0000000000000001E-9</v>
      </c>
      <c r="G42" s="26"/>
      <c r="H42" s="26"/>
      <c r="I42" s="2">
        <v>3.9999999999999998E-7</v>
      </c>
      <c r="J42" s="26"/>
    </row>
    <row r="43" spans="2:10" x14ac:dyDescent="0.4">
      <c r="B43" s="37"/>
      <c r="C43" s="3" t="s">
        <v>81</v>
      </c>
      <c r="D43" s="3" t="s">
        <v>24</v>
      </c>
      <c r="E43" s="2">
        <v>5.0000000000000002E-5</v>
      </c>
      <c r="F43" s="4" t="s">
        <v>128</v>
      </c>
      <c r="G43" s="26"/>
      <c r="H43" s="26"/>
      <c r="I43" s="26"/>
      <c r="J43" s="26"/>
    </row>
    <row r="44" spans="2:10" x14ac:dyDescent="0.4">
      <c r="B44" s="37"/>
      <c r="C44" s="3" t="s">
        <v>81</v>
      </c>
      <c r="D44" s="3" t="s">
        <v>25</v>
      </c>
      <c r="E44" s="2">
        <v>4.0000000000000003E-5</v>
      </c>
      <c r="G44" s="26"/>
      <c r="H44" s="26"/>
      <c r="I44" s="26"/>
      <c r="J44" s="26"/>
    </row>
    <row r="45" spans="2:10" x14ac:dyDescent="0.4">
      <c r="B45" s="37"/>
      <c r="C45" s="3" t="s">
        <v>81</v>
      </c>
      <c r="D45" s="3" t="s">
        <v>26</v>
      </c>
      <c r="E45" s="2">
        <v>2.0000000000000001E-4</v>
      </c>
      <c r="F45" s="4" t="s">
        <v>129</v>
      </c>
      <c r="G45" s="26"/>
      <c r="H45" s="26"/>
      <c r="I45" s="26"/>
      <c r="J45" s="26"/>
    </row>
    <row r="46" spans="2:10" x14ac:dyDescent="0.4">
      <c r="B46" s="37"/>
      <c r="C46" s="3" t="s">
        <v>81</v>
      </c>
      <c r="D46" s="3" t="s">
        <v>27</v>
      </c>
      <c r="E46" s="2">
        <v>2.0000000000000001E-4</v>
      </c>
      <c r="F46" s="4" t="s">
        <v>129</v>
      </c>
      <c r="G46" s="26"/>
      <c r="H46" s="26"/>
      <c r="I46" s="26"/>
      <c r="J46" s="26"/>
    </row>
    <row r="47" spans="2:10" x14ac:dyDescent="0.4">
      <c r="B47" s="37"/>
      <c r="C47" s="3" t="s">
        <v>81</v>
      </c>
      <c r="D47" s="3" t="s">
        <v>20</v>
      </c>
      <c r="E47" s="2">
        <v>1.257E-6</v>
      </c>
      <c r="G47" s="26"/>
      <c r="H47" s="26"/>
      <c r="I47" s="26"/>
      <c r="J47" s="26"/>
    </row>
    <row r="48" spans="2:10" x14ac:dyDescent="0.4">
      <c r="B48" s="37"/>
      <c r="C48" s="3" t="s">
        <v>81</v>
      </c>
      <c r="D48" s="3" t="s">
        <v>28</v>
      </c>
      <c r="E48" s="3">
        <v>1</v>
      </c>
      <c r="G48" s="26"/>
      <c r="H48" s="26"/>
      <c r="I48" s="26"/>
      <c r="J48" s="26"/>
    </row>
    <row r="49" spans="2:10" x14ac:dyDescent="0.4">
      <c r="B49" s="37"/>
      <c r="C49" s="3" t="s">
        <v>81</v>
      </c>
      <c r="D49" s="3" t="s">
        <v>35</v>
      </c>
      <c r="E49" s="3">
        <v>25</v>
      </c>
      <c r="G49" s="26"/>
      <c r="H49" s="26"/>
      <c r="I49" s="26"/>
      <c r="J49" s="26"/>
    </row>
    <row r="50" spans="2:10" x14ac:dyDescent="0.4">
      <c r="B50" s="37"/>
      <c r="C50" s="3" t="s">
        <v>82</v>
      </c>
      <c r="D50" s="3"/>
      <c r="E50" s="3">
        <v>0</v>
      </c>
      <c r="G50" s="26"/>
      <c r="H50" s="26"/>
      <c r="I50" s="26"/>
      <c r="J50" s="26"/>
    </row>
    <row r="51" spans="2:10" x14ac:dyDescent="0.4">
      <c r="B51" s="37"/>
      <c r="C51" s="3" t="s">
        <v>83</v>
      </c>
      <c r="D51" s="22"/>
      <c r="E51" s="11">
        <v>0</v>
      </c>
      <c r="F51" s="11">
        <v>0</v>
      </c>
      <c r="G51" s="26"/>
      <c r="H51" s="26"/>
      <c r="I51" s="26"/>
      <c r="J51" s="26"/>
    </row>
    <row r="52" spans="2:10" x14ac:dyDescent="0.4">
      <c r="B52" s="37"/>
      <c r="C52" s="3" t="s">
        <v>84</v>
      </c>
      <c r="D52" s="3"/>
      <c r="E52" s="2">
        <v>4.0000000000000001E-8</v>
      </c>
      <c r="F52" s="26"/>
      <c r="G52" s="26"/>
      <c r="H52" s="26"/>
      <c r="I52" s="26"/>
      <c r="J52" s="26"/>
    </row>
    <row r="53" spans="2:10" x14ac:dyDescent="0.4">
      <c r="B53" s="37"/>
      <c r="C53" s="3" t="s">
        <v>85</v>
      </c>
      <c r="D53" s="3"/>
      <c r="E53" s="2">
        <v>4.0000000000000001E-8</v>
      </c>
      <c r="F53" s="26"/>
      <c r="G53" s="26"/>
      <c r="H53" s="26"/>
      <c r="I53" s="26"/>
      <c r="J53" s="26"/>
    </row>
    <row r="54" spans="2:10" x14ac:dyDescent="0.4">
      <c r="B54" s="37"/>
      <c r="C54" s="3" t="s">
        <v>86</v>
      </c>
      <c r="D54" s="3"/>
      <c r="E54" s="2">
        <v>2E-8</v>
      </c>
      <c r="F54" s="26"/>
      <c r="G54" s="26"/>
      <c r="H54" s="26"/>
      <c r="I54" s="26"/>
      <c r="J54" s="26"/>
    </row>
    <row r="55" spans="2:10" x14ac:dyDescent="0.4">
      <c r="B55" s="3" t="s">
        <v>87</v>
      </c>
      <c r="C55" s="3"/>
      <c r="D55" s="3"/>
      <c r="E55" s="24">
        <v>0.1</v>
      </c>
      <c r="F55" s="26"/>
      <c r="G55" s="26"/>
      <c r="H55" s="26"/>
      <c r="I55" s="26"/>
      <c r="J55" s="26"/>
    </row>
  </sheetData>
  <mergeCells count="21">
    <mergeCell ref="B3:D3"/>
    <mergeCell ref="C5:D5"/>
    <mergeCell ref="C4:D4"/>
    <mergeCell ref="C6:D6"/>
    <mergeCell ref="B4:B54"/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D44"/>
  <sheetViews>
    <sheetView zoomScaleNormal="100" workbookViewId="0">
      <selection activeCell="G14" sqref="G14"/>
    </sheetView>
  </sheetViews>
  <sheetFormatPr defaultRowHeight="17.399999999999999" x14ac:dyDescent="0.4"/>
  <cols>
    <col min="2" max="2" width="29.296875" bestFit="1" customWidth="1"/>
    <col min="3" max="3" width="20.8984375" customWidth="1"/>
  </cols>
  <sheetData>
    <row r="3" spans="2:4" x14ac:dyDescent="0.4">
      <c r="B3" s="50" t="s">
        <v>88</v>
      </c>
      <c r="C3" s="50"/>
    </row>
    <row r="4" spans="2:4" x14ac:dyDescent="0.4">
      <c r="B4" s="29" t="s">
        <v>89</v>
      </c>
      <c r="C4" s="29" t="s">
        <v>1</v>
      </c>
    </row>
    <row r="5" spans="2:4" x14ac:dyDescent="0.4">
      <c r="B5" t="s">
        <v>127</v>
      </c>
      <c r="C5" s="17">
        <v>1.0000000000000001E-5</v>
      </c>
    </row>
    <row r="6" spans="2:4" x14ac:dyDescent="0.4">
      <c r="B6" t="s">
        <v>90</v>
      </c>
      <c r="C6" s="17">
        <v>9.9999999999999995E-7</v>
      </c>
    </row>
    <row r="7" spans="2:4" x14ac:dyDescent="0.4">
      <c r="B7" t="s">
        <v>126</v>
      </c>
      <c r="C7" s="36">
        <f>C6*2</f>
        <v>1.9999999999999999E-6</v>
      </c>
    </row>
    <row r="8" spans="2:4" x14ac:dyDescent="0.4">
      <c r="B8" s="12" t="s">
        <v>91</v>
      </c>
    </row>
    <row r="9" spans="2:4" x14ac:dyDescent="0.4">
      <c r="B9" t="s">
        <v>92</v>
      </c>
      <c r="C9" s="17">
        <f>0.001*27.151540512557</f>
        <v>2.7151540512556999E-2</v>
      </c>
      <c r="D9" s="17">
        <f>0.001*27.151540512557</f>
        <v>2.7151540512556999E-2</v>
      </c>
    </row>
    <row r="10" spans="2:4" x14ac:dyDescent="0.4">
      <c r="B10" t="s">
        <v>93</v>
      </c>
      <c r="C10" s="17">
        <f>0.001*0.88252973847332</f>
        <v>8.8252973847331999E-4</v>
      </c>
    </row>
    <row r="11" spans="2:4" x14ac:dyDescent="0.4">
      <c r="B11" t="s">
        <v>94</v>
      </c>
      <c r="C11" s="16">
        <v>3.0109857072484849</v>
      </c>
    </row>
    <row r="12" spans="2:4" x14ac:dyDescent="0.4">
      <c r="B12" t="s">
        <v>95</v>
      </c>
      <c r="C12" s="16">
        <v>0.31569968096969692</v>
      </c>
    </row>
    <row r="13" spans="2:4" x14ac:dyDescent="0.4">
      <c r="C13" s="16"/>
    </row>
    <row r="14" spans="2:4" x14ac:dyDescent="0.4">
      <c r="B14" s="12" t="s">
        <v>96</v>
      </c>
      <c r="C14" s="16"/>
    </row>
    <row r="15" spans="2:4" x14ac:dyDescent="0.4">
      <c r="B15" s="12" t="s">
        <v>97</v>
      </c>
      <c r="C15" s="16"/>
    </row>
    <row r="16" spans="2:4" x14ac:dyDescent="0.4">
      <c r="B16" t="s">
        <v>98</v>
      </c>
      <c r="C16" s="17">
        <v>1E-4</v>
      </c>
    </row>
    <row r="17" spans="2:3" x14ac:dyDescent="0.4">
      <c r="B17" t="s">
        <v>99</v>
      </c>
      <c r="C17" s="17">
        <v>1E-4</v>
      </c>
    </row>
    <row r="18" spans="2:3" x14ac:dyDescent="0.4">
      <c r="B18" t="s">
        <v>100</v>
      </c>
      <c r="C18" s="16">
        <v>1</v>
      </c>
    </row>
    <row r="19" spans="2:3" x14ac:dyDescent="0.4">
      <c r="B19" t="s">
        <v>101</v>
      </c>
      <c r="C19" s="16">
        <v>1</v>
      </c>
    </row>
    <row r="20" spans="2:3" x14ac:dyDescent="0.4">
      <c r="B20" t="s">
        <v>102</v>
      </c>
      <c r="C20" s="16">
        <v>1</v>
      </c>
    </row>
    <row r="21" spans="2:3" x14ac:dyDescent="0.4">
      <c r="B21" t="s">
        <v>103</v>
      </c>
      <c r="C21" s="17">
        <f>0.001*19.057617059853</f>
        <v>1.9057617059853E-2</v>
      </c>
    </row>
    <row r="22" spans="2:3" x14ac:dyDescent="0.4">
      <c r="B22" t="s">
        <v>104</v>
      </c>
      <c r="C22" s="17">
        <v>0</v>
      </c>
    </row>
    <row r="23" spans="2:3" x14ac:dyDescent="0.4">
      <c r="B23" t="s">
        <v>105</v>
      </c>
      <c r="C23" s="17">
        <v>0</v>
      </c>
    </row>
    <row r="24" spans="2:3" x14ac:dyDescent="0.4">
      <c r="B24" t="s">
        <v>106</v>
      </c>
      <c r="C24" s="16">
        <v>1.5054928536242425</v>
      </c>
    </row>
    <row r="25" spans="2:3" x14ac:dyDescent="0.4">
      <c r="B25" t="s">
        <v>107</v>
      </c>
      <c r="C25" s="17">
        <f>0.001*26.0690107740837</f>
        <v>2.60690107740837E-2</v>
      </c>
    </row>
    <row r="26" spans="2:3" x14ac:dyDescent="0.4">
      <c r="B26" t="s">
        <v>108</v>
      </c>
      <c r="C26" s="17">
        <v>0</v>
      </c>
    </row>
    <row r="27" spans="2:3" x14ac:dyDescent="0.4">
      <c r="B27" t="s">
        <v>109</v>
      </c>
      <c r="C27" s="17">
        <v>0</v>
      </c>
    </row>
    <row r="28" spans="2:3" x14ac:dyDescent="0.4">
      <c r="B28" t="s">
        <v>110</v>
      </c>
      <c r="C28" s="17">
        <v>0</v>
      </c>
    </row>
    <row r="29" spans="2:3" x14ac:dyDescent="0.4">
      <c r="B29" t="s">
        <v>111</v>
      </c>
      <c r="C29" s="17">
        <f>C10</f>
        <v>8.8252973847331999E-4</v>
      </c>
    </row>
    <row r="30" spans="2:3" x14ac:dyDescent="0.4">
      <c r="B30" t="s">
        <v>112</v>
      </c>
      <c r="C30" s="16">
        <v>0</v>
      </c>
    </row>
    <row r="31" spans="2:3" x14ac:dyDescent="0.4">
      <c r="B31" t="s">
        <v>113</v>
      </c>
      <c r="C31" s="16">
        <v>0</v>
      </c>
    </row>
    <row r="32" spans="2:3" x14ac:dyDescent="0.4">
      <c r="C32" s="16"/>
    </row>
    <row r="33" spans="2:3" x14ac:dyDescent="0.4">
      <c r="B33" s="12" t="s">
        <v>114</v>
      </c>
      <c r="C33" s="16"/>
    </row>
    <row r="34" spans="2:3" x14ac:dyDescent="0.4">
      <c r="B34" t="s">
        <v>115</v>
      </c>
      <c r="C34" s="17">
        <v>1E-4</v>
      </c>
    </row>
    <row r="35" spans="2:3" x14ac:dyDescent="0.4">
      <c r="B35" t="s">
        <v>116</v>
      </c>
      <c r="C35" s="17">
        <v>1E-4</v>
      </c>
    </row>
    <row r="36" spans="2:3" x14ac:dyDescent="0.4">
      <c r="B36" t="s">
        <v>117</v>
      </c>
      <c r="C36" s="16">
        <v>1</v>
      </c>
    </row>
    <row r="37" spans="2:3" x14ac:dyDescent="0.4">
      <c r="B37" t="s">
        <v>118</v>
      </c>
      <c r="C37" s="16">
        <v>1</v>
      </c>
    </row>
    <row r="38" spans="2:3" x14ac:dyDescent="0.4">
      <c r="B38" t="s">
        <v>119</v>
      </c>
      <c r="C38" s="16">
        <v>1</v>
      </c>
    </row>
    <row r="39" spans="2:3" x14ac:dyDescent="0.4">
      <c r="B39" t="s">
        <v>120</v>
      </c>
      <c r="C39" s="17">
        <f>0.001*4.00970921638964</f>
        <v>4.0097092163896408E-3</v>
      </c>
    </row>
    <row r="40" spans="2:3" x14ac:dyDescent="0.4">
      <c r="B40" t="s">
        <v>121</v>
      </c>
      <c r="C40" s="17">
        <v>0</v>
      </c>
    </row>
    <row r="41" spans="2:3" x14ac:dyDescent="0.4">
      <c r="B41" t="s">
        <v>122</v>
      </c>
      <c r="C41" s="17">
        <v>0</v>
      </c>
    </row>
    <row r="42" spans="2:3" x14ac:dyDescent="0.4">
      <c r="B42" t="s">
        <v>123</v>
      </c>
      <c r="C42" s="16">
        <v>0.15784984048484846</v>
      </c>
    </row>
    <row r="43" spans="2:3" x14ac:dyDescent="0.4">
      <c r="B43" t="s">
        <v>124</v>
      </c>
      <c r="C43" s="17">
        <f>C10</f>
        <v>8.8252973847331999E-4</v>
      </c>
    </row>
    <row r="44" spans="2:3" x14ac:dyDescent="0.4">
      <c r="B44" t="s">
        <v>125</v>
      </c>
      <c r="C44" s="17">
        <f>0.001*26.0690107740837</f>
        <v>2.60690107740837E-2</v>
      </c>
    </row>
  </sheetData>
  <mergeCells count="1">
    <mergeCell ref="B3:C3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AEEB-C583-430F-B640-88B71892ECA8}">
  <dimension ref="H18:J20"/>
  <sheetViews>
    <sheetView workbookViewId="0">
      <selection activeCell="H20" sqref="H20"/>
    </sheetView>
  </sheetViews>
  <sheetFormatPr defaultRowHeight="17.399999999999999" x14ac:dyDescent="0.4"/>
  <sheetData>
    <row r="18" spans="8:10" x14ac:dyDescent="0.4">
      <c r="H18">
        <v>200</v>
      </c>
      <c r="I18">
        <v>200</v>
      </c>
      <c r="J18">
        <f>H18*I18</f>
        <v>40000</v>
      </c>
    </row>
    <row r="19" spans="8:10" x14ac:dyDescent="0.4">
      <c r="H19">
        <v>40</v>
      </c>
      <c r="I19">
        <v>40</v>
      </c>
      <c r="J19">
        <f>H19*I19</f>
        <v>1600</v>
      </c>
    </row>
    <row r="20" spans="8:10" x14ac:dyDescent="0.4">
      <c r="J20">
        <f>J19/J18</f>
        <v>0.04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system</vt:lpstr>
      <vt:lpstr>chip</vt:lpstr>
      <vt:lpstr>block_layout_specs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김태훈</cp:lastModifiedBy>
  <cp:revision/>
  <dcterms:created xsi:type="dcterms:W3CDTF">2015-06-05T18:17:20Z</dcterms:created>
  <dcterms:modified xsi:type="dcterms:W3CDTF">2025-06-23T20:53:34Z</dcterms:modified>
  <cp:category/>
  <cp:contentStatus/>
</cp:coreProperties>
</file>