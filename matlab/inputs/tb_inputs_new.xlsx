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kaul33_gatech_edu/Documents/phd_files/projects/pdn_3D_CIM/new_paper_sims/inputs/"/>
    </mc:Choice>
  </mc:AlternateContent>
  <xr:revisionPtr revIDLastSave="180" documentId="13_ncr:1_{FDDD1D5F-B2A7-4059-BADB-615B92438827}" xr6:coauthVersionLast="47" xr6:coauthVersionMax="47" xr10:uidLastSave="{03E009AD-7D7F-4E49-949E-06822495A456}"/>
  <bookViews>
    <workbookView xWindow="-110" yWindow="-110" windowWidth="19420" windowHeight="10300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1" i="6"/>
  <c r="C40" i="6"/>
  <c r="C39" i="6"/>
  <c r="C28" i="6"/>
  <c r="C26" i="6"/>
  <c r="C25" i="6"/>
  <c r="C23" i="6"/>
  <c r="C22" i="6"/>
  <c r="C21" i="6"/>
  <c r="C29" i="6"/>
  <c r="C10" i="6"/>
  <c r="C9" i="6"/>
  <c r="E7" i="3" s="1"/>
  <c r="E8" i="3" s="1"/>
  <c r="C5" i="6"/>
  <c r="E32" i="3" s="1"/>
  <c r="E28" i="3"/>
  <c r="E17" i="2"/>
  <c r="E16" i="2"/>
  <c r="G13" i="2"/>
  <c r="F13" i="2"/>
  <c r="E10" i="2"/>
  <c r="E9" i="2"/>
  <c r="E8" i="2"/>
  <c r="C43" i="6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<sst xmlns="http://schemas.openxmlformats.org/spreadsheetml/2006/main" count="214" uniqueCount="127">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</sst>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abSelected="1" topLeftCell="A42" zoomScale="85" zoomScaleNormal="85" workbookViewId="0">
      <selection activeCell="E58" sqref="E58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0.5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zoomScaleNormal="100" workbookViewId="0">
      <selection activeCell="E5" sqref="E5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39" t="s">
        <v>0</v>
      </c>
      <c r="C3" s="39"/>
      <c r="D3" s="39"/>
      <c r="E3" s="38" t="s">
        <v>1</v>
      </c>
      <c r="F3" s="38"/>
      <c r="G3" s="38"/>
      <c r="H3" s="38"/>
      <c r="I3" s="38"/>
      <c r="J3" s="38"/>
      <c r="K3" s="38"/>
      <c r="L3" s="38"/>
    </row>
    <row r="4" spans="2:20" x14ac:dyDescent="0.3">
      <c r="B4" s="34" t="s">
        <v>8</v>
      </c>
      <c r="C4" s="38" t="s">
        <v>56</v>
      </c>
      <c r="D4" s="38"/>
      <c r="E4" s="31"/>
      <c r="F4" s="7"/>
      <c r="G4" s="7"/>
    </row>
    <row r="5" spans="2:20" x14ac:dyDescent="0.3">
      <c r="B5" s="34"/>
      <c r="C5" s="34" t="s">
        <v>9</v>
      </c>
      <c r="D5" s="34"/>
      <c r="E5" s="3">
        <v>2</v>
      </c>
    </row>
    <row r="6" spans="2:20" x14ac:dyDescent="0.3">
      <c r="B6" s="34"/>
      <c r="C6" s="38" t="s">
        <v>57</v>
      </c>
      <c r="D6" s="38"/>
      <c r="E6" s="3"/>
      <c r="N6" s="9"/>
      <c r="O6" s="9"/>
      <c r="P6" s="9"/>
      <c r="Q6" s="9"/>
    </row>
    <row r="7" spans="2:20" x14ac:dyDescent="0.3">
      <c r="B7" s="34"/>
      <c r="C7" s="34" t="s">
        <v>11</v>
      </c>
      <c r="D7" s="34"/>
      <c r="E7" s="33">
        <f>block_layout_specs!C9</f>
        <v>8.26E-3</v>
      </c>
      <c r="O7" s="9"/>
      <c r="P7" s="9"/>
      <c r="Q7" s="9"/>
      <c r="R7" s="9"/>
    </row>
    <row r="8" spans="2:20" x14ac:dyDescent="0.3">
      <c r="B8" s="34"/>
      <c r="C8" s="34" t="s">
        <v>12</v>
      </c>
      <c r="D8" s="34"/>
      <c r="E8" s="33">
        <f>E7</f>
        <v>8.26E-3</v>
      </c>
      <c r="K8" s="9"/>
      <c r="L8" s="9"/>
      <c r="M8" s="9"/>
      <c r="N8" s="9"/>
    </row>
    <row r="9" spans="2:20" x14ac:dyDescent="0.3">
      <c r="B9" s="34"/>
      <c r="C9" s="38" t="s">
        <v>58</v>
      </c>
      <c r="D9" s="38"/>
      <c r="E9" s="2"/>
      <c r="L9" s="9"/>
      <c r="M9" s="9"/>
      <c r="N9" s="9"/>
      <c r="O9" s="9"/>
    </row>
    <row r="10" spans="2:20" x14ac:dyDescent="0.3">
      <c r="B10" s="34"/>
      <c r="C10" s="34" t="s">
        <v>59</v>
      </c>
      <c r="D10" s="3" t="s">
        <v>9</v>
      </c>
      <c r="E10" s="3">
        <v>4</v>
      </c>
      <c r="F10" s="3">
        <v>4</v>
      </c>
    </row>
    <row r="11" spans="2:20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</row>
    <row r="12" spans="2:20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</row>
    <row r="13" spans="2:20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3">
      <c r="B15" s="34"/>
      <c r="C15" s="38" t="s">
        <v>63</v>
      </c>
      <c r="D15" s="38"/>
      <c r="E15" s="3"/>
    </row>
    <row r="16" spans="2:20" x14ac:dyDescent="0.3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</row>
    <row r="17" spans="2:20" x14ac:dyDescent="0.3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3">
      <c r="B18" s="34"/>
      <c r="C18" s="38" t="s">
        <v>66</v>
      </c>
      <c r="D18" s="38"/>
      <c r="E18" s="3"/>
    </row>
    <row r="19" spans="2:20" x14ac:dyDescent="0.3">
      <c r="B19" s="34"/>
      <c r="C19" s="34" t="s">
        <v>67</v>
      </c>
      <c r="D19" s="34"/>
      <c r="E19" s="3">
        <v>0.05</v>
      </c>
      <c r="F19" s="3">
        <v>0.05</v>
      </c>
    </row>
    <row r="20" spans="2:20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</row>
    <row r="21" spans="2:20" x14ac:dyDescent="0.3">
      <c r="B21" s="34"/>
      <c r="C21" s="38" t="s">
        <v>69</v>
      </c>
      <c r="D21" s="38"/>
      <c r="E21" s="23"/>
      <c r="F21" s="24"/>
      <c r="G21" s="24"/>
      <c r="H21" s="24"/>
      <c r="I21" s="24"/>
      <c r="J21" s="24"/>
    </row>
    <row r="22" spans="2:20" x14ac:dyDescent="0.3">
      <c r="B22" s="34"/>
      <c r="C22" s="34" t="s">
        <v>70</v>
      </c>
      <c r="D22" s="34"/>
      <c r="E22" s="2">
        <v>0.5</v>
      </c>
      <c r="F22" s="6">
        <v>0.5</v>
      </c>
    </row>
    <row r="23" spans="2:20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0" x14ac:dyDescent="0.3">
      <c r="B25" s="34"/>
      <c r="C25" s="38" t="s">
        <v>76</v>
      </c>
      <c r="D25" s="38"/>
      <c r="E25" s="27"/>
      <c r="F25" s="28"/>
      <c r="G25" s="28"/>
      <c r="H25" s="28"/>
      <c r="I25" s="28"/>
      <c r="J25" s="28"/>
    </row>
    <row r="26" spans="2:20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4"/>
      <c r="C27" s="3" t="s">
        <v>34</v>
      </c>
      <c r="D27" s="3" t="s">
        <v>24</v>
      </c>
      <c r="E27" s="2"/>
      <c r="F27" s="28"/>
      <c r="G27" s="28"/>
      <c r="H27" s="28"/>
      <c r="I27" s="28"/>
      <c r="J27" s="28"/>
    </row>
    <row r="28" spans="2:20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4"/>
      <c r="C32" s="3" t="s">
        <v>34</v>
      </c>
      <c r="D32" s="3" t="s">
        <v>38</v>
      </c>
      <c r="E32" s="2">
        <f>block_layout_specs!C5</f>
        <v>1.5E-5</v>
      </c>
      <c r="F32" s="28"/>
      <c r="G32" s="28"/>
      <c r="H32" s="28"/>
      <c r="I32" s="28"/>
      <c r="J32" s="28"/>
    </row>
    <row r="33" spans="2:10" x14ac:dyDescent="0.3">
      <c r="B33" s="34"/>
      <c r="C33" s="38" t="s">
        <v>78</v>
      </c>
      <c r="D33" s="38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/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/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/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/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8" t="s">
        <v>80</v>
      </c>
      <c r="D41" s="38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/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/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/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/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B3:D3"/>
    <mergeCell ref="C5:D5"/>
    <mergeCell ref="C4:D4"/>
    <mergeCell ref="C6:D6"/>
    <mergeCell ref="B4:B54"/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topLeftCell="A28" zoomScaleNormal="100" workbookViewId="0">
      <selection activeCell="C42" sqref="C42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f>0.000015</f>
        <v>1.5E-5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0.001*8.26</f>
        <v>8.26E-3</v>
      </c>
    </row>
    <row r="10" spans="2:3" x14ac:dyDescent="0.3">
      <c r="B10" t="s">
        <v>94</v>
      </c>
      <c r="C10" s="18">
        <f>0.001*1.21357300209422</f>
        <v>1.2135730020942199E-3</v>
      </c>
    </row>
    <row r="11" spans="2:3" x14ac:dyDescent="0.3">
      <c r="B11" t="s">
        <v>95</v>
      </c>
      <c r="C11" s="17">
        <v>6.3483042785148616E-2</v>
      </c>
    </row>
    <row r="12" spans="2:3" x14ac:dyDescent="0.3">
      <c r="B12" t="s">
        <v>96</v>
      </c>
      <c r="C12" s="17">
        <v>2.2928879975316261E-2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4294</v>
      </c>
    </row>
    <row r="19" spans="2:3" x14ac:dyDescent="0.3">
      <c r="B19" t="s">
        <v>102</v>
      </c>
      <c r="C19" s="17">
        <v>113</v>
      </c>
    </row>
    <row r="20" spans="2:3" x14ac:dyDescent="0.3">
      <c r="B20" t="s">
        <v>103</v>
      </c>
      <c r="C20" s="17">
        <v>38</v>
      </c>
    </row>
    <row r="21" spans="2:3" x14ac:dyDescent="0.3">
      <c r="B21" t="s">
        <v>104</v>
      </c>
      <c r="C21" s="18">
        <f>0.001*0.0694482773928254</f>
        <v>6.9448277392825401E-5</v>
      </c>
    </row>
    <row r="22" spans="2:3" x14ac:dyDescent="0.3">
      <c r="B22" t="s">
        <v>105</v>
      </c>
      <c r="C22" s="18">
        <f>0.001*0.00010911362159174</f>
        <v>1.0911362159174E-7</v>
      </c>
    </row>
    <row r="23" spans="2:3" x14ac:dyDescent="0.3">
      <c r="B23" t="s">
        <v>106</v>
      </c>
      <c r="C23" s="18">
        <f>0.001*0.000511990431502254</f>
        <v>5.1199043150225406E-7</v>
      </c>
    </row>
    <row r="24" spans="2:3" x14ac:dyDescent="0.3">
      <c r="B24" t="s">
        <v>107</v>
      </c>
      <c r="C24" s="17">
        <v>6.6589650038722825E-6</v>
      </c>
    </row>
    <row r="25" spans="2:3" x14ac:dyDescent="0.3">
      <c r="B25" t="s">
        <v>108</v>
      </c>
      <c r="C25" s="18">
        <f>0.001*5.7159563737859</f>
        <v>5.7159563737859001E-3</v>
      </c>
    </row>
    <row r="26" spans="2:3" x14ac:dyDescent="0.3">
      <c r="B26" t="s">
        <v>109</v>
      </c>
      <c r="C26" s="18">
        <f>0.001*1.13034669512743</f>
        <v>1.13034669512743E-3</v>
      </c>
    </row>
    <row r="27" spans="2:3" x14ac:dyDescent="0.3">
      <c r="B27" t="s">
        <v>110</v>
      </c>
      <c r="C27" s="18">
        <v>0</v>
      </c>
    </row>
    <row r="28" spans="2:3" x14ac:dyDescent="0.3">
      <c r="B28" t="s">
        <v>111</v>
      </c>
      <c r="C28" s="18">
        <f>0.001*8.05987607100754</f>
        <v>8.0598760710075407E-3</v>
      </c>
    </row>
    <row r="29" spans="2:3" x14ac:dyDescent="0.3">
      <c r="B29" t="s">
        <v>112</v>
      </c>
      <c r="C29" s="18">
        <f>C10</f>
        <v>1.2135730020942199E-3</v>
      </c>
    </row>
    <row r="30" spans="2:3" x14ac:dyDescent="0.3">
      <c r="B30" t="s">
        <v>113</v>
      </c>
      <c r="C30" s="17">
        <v>0</v>
      </c>
    </row>
    <row r="31" spans="2:3" x14ac:dyDescent="0.3">
      <c r="B31" t="s">
        <v>114</v>
      </c>
      <c r="C31" s="17">
        <v>3.1479256659467246E-3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4747</v>
      </c>
    </row>
    <row r="37" spans="2:3" x14ac:dyDescent="0.3">
      <c r="B37" t="s">
        <v>119</v>
      </c>
      <c r="C37" s="17">
        <v>101</v>
      </c>
    </row>
    <row r="38" spans="2:3" x14ac:dyDescent="0.3">
      <c r="B38" t="s">
        <v>120</v>
      </c>
      <c r="C38" s="17">
        <v>47</v>
      </c>
    </row>
    <row r="39" spans="2:3" x14ac:dyDescent="0.3">
      <c r="B39" t="s">
        <v>121</v>
      </c>
      <c r="C39" s="18">
        <f>0.001*0.0666226225907613</f>
        <v>6.6622622590761294E-5</v>
      </c>
    </row>
    <row r="40" spans="2:3" x14ac:dyDescent="0.3">
      <c r="B40" t="s">
        <v>122</v>
      </c>
      <c r="C40" s="18">
        <f>0.001*0.0113099118934065</f>
        <v>1.13099118934065E-5</v>
      </c>
    </row>
    <row r="41" spans="2:3" x14ac:dyDescent="0.3">
      <c r="B41" t="s">
        <v>123</v>
      </c>
      <c r="C41" s="18">
        <f>0.001*0.0019975711454539</f>
        <v>1.9975711454539E-6</v>
      </c>
    </row>
    <row r="42" spans="2:3" x14ac:dyDescent="0.3">
      <c r="B42" t="s">
        <v>124</v>
      </c>
      <c r="C42" s="17">
        <v>2.4150916342233265E-6</v>
      </c>
    </row>
    <row r="43" spans="2:3" x14ac:dyDescent="0.3">
      <c r="B43" t="s">
        <v>125</v>
      </c>
      <c r="C43" s="18">
        <f>C10</f>
        <v>1.2135730020942199E-3</v>
      </c>
    </row>
    <row r="44" spans="2:3" x14ac:dyDescent="0.3">
      <c r="B44" t="s">
        <v>126</v>
      </c>
      <c r="C44" s="18">
        <f>0.001*6.84630306891332</f>
        <v>6.8463030689133201E-3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Ankit Kaul</cp:lastModifiedBy>
  <cp:revision/>
  <dcterms:created xsi:type="dcterms:W3CDTF">2015-06-05T18:17:20Z</dcterms:created>
  <dcterms:modified xsi:type="dcterms:W3CDTF">2022-11-08T01:31:03Z</dcterms:modified>
  <cp:category/>
  <cp:contentStatus/>
</cp:coreProperties>
</file>