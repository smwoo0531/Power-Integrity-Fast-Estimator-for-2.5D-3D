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kaul33_gatech_edu/Documents/phd_files/projects/pdn_3D_CIM/new_paper_sims/inputs/"/>
    </mc:Choice>
  </mc:AlternateContent>
  <xr:revisionPtr revIDLastSave="231" documentId="13_ncr:1_{FDDD1D5F-B2A7-4059-BADB-615B92438827}" xr6:coauthVersionLast="47" xr6:coauthVersionMax="47" xr10:uidLastSave="{EC4C3879-D98B-4BF4-A33A-6769245C2BAC}"/>
  <bookViews>
    <workbookView xWindow="-108" yWindow="-108" windowWidth="23256" windowHeight="12456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C44" i="6"/>
  <c r="C41" i="6"/>
  <c r="C40" i="6"/>
  <c r="C39" i="6"/>
  <c r="C23" i="6"/>
  <c r="C22" i="6"/>
  <c r="C21" i="6"/>
  <c r="C9" i="6"/>
  <c r="D9" i="6"/>
  <c r="C25" i="6"/>
  <c r="C28" i="6" l="1"/>
  <c r="C27" i="6"/>
  <c r="C26" i="6"/>
  <c r="C29" i="6"/>
  <c r="E32" i="3"/>
  <c r="E28" i="3"/>
  <c r="E17" i="2"/>
  <c r="E16" i="2"/>
  <c r="G13" i="2"/>
  <c r="F13" i="2"/>
  <c r="E10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<sst xmlns="http://schemas.openxmlformats.org/spreadsheetml/2006/main" count="214" uniqueCount="127">
  <si>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</si>
  <si>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</si>
  <si>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</si>
  <si>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</si>
  <si>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</si>
  <si>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</si>
  <si>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</si>
  <si>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</si>
  <si>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</si>
  <si>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</si>
  <si>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</si>
  <si>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</si>
  <si>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</si>
  <si>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</si>
  <si>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</si>
  <si>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</si>
  <si>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</si>
  <si>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</si>
  <si>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</si>
  <si>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</si>
  <si>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</si>
  <si>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</si>
  <si>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</si>
  <si>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</si>
  <si>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</si>
  <si>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</si>
  <si>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</si>
  <si>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</si>
  <si>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</si>
  <si>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</si>
  <si>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</si>
  <si>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</si>
  <si>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</si>
  <si>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</si>
  <si>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</si>
  <si>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</si>
  <si>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</si>
  <si>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</si>
  <si>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</si>
  <si>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</si>
  <si>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</si>
  <si>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</si>
  <si>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</si>
  <si>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</si>
  <si>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</si>
  <si>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</si>
  <si>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</si>
  <si>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</si>
  <si>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</si>
  <si>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</si>
  <si>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</si>
  <si>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</si>
  <si>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</si>
  <si>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</si>
  <si>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</si>
  <si>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</si>
  <si>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</si>
  <si>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</si>
  <si>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</si>
  <si>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</si>
  <si>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</si>
  <si>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</si>
  <si>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</si>
  <si>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</si>
  <si>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</si>
  <si>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</si>
  <si>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</si>
  <si>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</si>
  <si>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</si>
  <si>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</si>
  <si>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</si>
  <si>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</si>
  <si>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</si>
  <si>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</si>
  <si>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</si>
  <si>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</si>
  <si>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</si>
  <si>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</si>
  <si>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</si>
  <si>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</si>
  <si>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</si>
  <si>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</si>
  <si>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</si>
  <si>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</si>
  <si>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</si>
  <si>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</si>
  <si>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</si>
  <si>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</si>
  <si>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</si>
  <si>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</si>
  <si>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</si>
  <si>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</si>
  <si>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</si>
  <si>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</si>
  <si>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</si>
  <si>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</si>
  <si>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</si>
  <si>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</si>
  <si>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</si>
  <si>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</si>
  <si>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</si>
  <si>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</si>
  <si>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</si>
  <si>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</si>
  <si>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</si>
  <si>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</si>
  <si>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</si>
  <si>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</si>
  <si>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</si>
  <si>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</si>
  <si>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</si>
  <si>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</si>
  <si>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</si>
  <si>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</si>
  <si>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</si>
  <si>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</si>
  <si>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</si>
  <si>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</si>
  <si>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</si>
  <si>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</si>
  <si>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</si>
  <si>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</si>
  <si>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</si>
  <si>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</si>
  <si>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</si>
  <si>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</si>
  <si>
    <t>chip size (x and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</si>
</sst>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abSelected="1" zoomScale="115" zoomScaleNormal="115" workbookViewId="0">
      <selection activeCell="E10" sqref="E10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8" t="s">
        <v>0</v>
      </c>
      <c r="C2" s="39"/>
      <c r="D2" s="40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7" t="s">
        <v>5</v>
      </c>
      <c r="C5" s="3" t="s">
        <v>6</v>
      </c>
      <c r="D5" s="3"/>
      <c r="E5" s="3">
        <v>0</v>
      </c>
      <c r="F5" s="4"/>
    </row>
    <row r="6" spans="2:7" x14ac:dyDescent="0.3">
      <c r="B6" s="37"/>
      <c r="C6" s="3" t="s">
        <v>7</v>
      </c>
      <c r="D6" s="3"/>
      <c r="E6" s="3">
        <v>0</v>
      </c>
      <c r="F6" s="4"/>
    </row>
    <row r="7" spans="2:7" x14ac:dyDescent="0.3">
      <c r="B7" s="37"/>
      <c r="C7" s="3" t="s">
        <v>8</v>
      </c>
      <c r="D7" s="3" t="s">
        <v>9</v>
      </c>
      <c r="E7" s="3">
        <v>1</v>
      </c>
      <c r="F7" s="4"/>
    </row>
    <row r="8" spans="2:7" x14ac:dyDescent="0.3">
      <c r="B8" s="37"/>
      <c r="C8" s="3" t="s">
        <v>10</v>
      </c>
      <c r="D8" s="3" t="s">
        <v>11</v>
      </c>
      <c r="E8" s="2">
        <f>0.028</f>
        <v>2.8000000000000001E-2</v>
      </c>
      <c r="F8" s="4"/>
    </row>
    <row r="9" spans="2:7" x14ac:dyDescent="0.3">
      <c r="B9" s="37"/>
      <c r="C9" s="3" t="s">
        <v>10</v>
      </c>
      <c r="D9" s="3" t="s">
        <v>12</v>
      </c>
      <c r="E9" s="2">
        <v>2.3E-2</v>
      </c>
      <c r="F9" s="4"/>
    </row>
    <row r="10" spans="2:7" x14ac:dyDescent="0.3">
      <c r="B10" s="37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7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7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7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7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7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7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7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7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7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7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7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7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7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7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7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7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7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7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7"/>
      <c r="C29" s="3" t="s">
        <v>29</v>
      </c>
      <c r="D29" s="3"/>
      <c r="E29" s="2">
        <v>0</v>
      </c>
      <c r="F29" s="4"/>
    </row>
    <row r="30" spans="2:7" x14ac:dyDescent="0.3">
      <c r="B30" s="37"/>
      <c r="C30" s="3" t="s">
        <v>30</v>
      </c>
      <c r="D30" s="3"/>
      <c r="E30" s="3">
        <v>0</v>
      </c>
      <c r="F30" s="4"/>
    </row>
    <row r="31" spans="2:7" x14ac:dyDescent="0.3">
      <c r="B31" s="37"/>
      <c r="C31" s="3" t="s">
        <v>31</v>
      </c>
      <c r="D31" s="3"/>
      <c r="E31" s="3">
        <v>0</v>
      </c>
      <c r="F31" s="4"/>
    </row>
    <row r="32" spans="2:7" x14ac:dyDescent="0.3">
      <c r="B32" s="37"/>
      <c r="C32" s="3" t="s">
        <v>32</v>
      </c>
      <c r="D32" s="21"/>
      <c r="E32" s="3">
        <v>0</v>
      </c>
      <c r="F32" s="25"/>
    </row>
    <row r="33" spans="2:6" x14ac:dyDescent="0.3">
      <c r="B33" s="37"/>
      <c r="C33" s="3" t="s">
        <v>33</v>
      </c>
      <c r="D33" s="21"/>
      <c r="E33" s="21">
        <v>1</v>
      </c>
      <c r="F33" s="25"/>
    </row>
    <row r="34" spans="2:6" x14ac:dyDescent="0.3">
      <c r="B34" s="37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7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7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7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7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7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7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7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7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7"/>
      <c r="C43" s="3" t="s">
        <v>39</v>
      </c>
      <c r="D43" s="21"/>
      <c r="E43" s="21">
        <v>0</v>
      </c>
      <c r="F43" s="25"/>
    </row>
    <row r="44" spans="2:6" x14ac:dyDescent="0.3">
      <c r="B44" s="37"/>
      <c r="C44" s="3" t="s">
        <v>40</v>
      </c>
      <c r="D44" s="21"/>
      <c r="E44" s="21">
        <v>1</v>
      </c>
      <c r="F44" s="25"/>
    </row>
    <row r="45" spans="2:6" x14ac:dyDescent="0.3">
      <c r="B45" s="37"/>
      <c r="C45" s="3" t="s">
        <v>41</v>
      </c>
      <c r="D45" s="21"/>
      <c r="E45" s="21">
        <v>0</v>
      </c>
      <c r="F45" s="25"/>
    </row>
    <row r="46" spans="2:6" x14ac:dyDescent="0.3">
      <c r="B46" s="37"/>
      <c r="C46" s="3" t="s">
        <v>42</v>
      </c>
      <c r="D46" s="21"/>
      <c r="E46" s="21">
        <v>1</v>
      </c>
      <c r="F46" s="25"/>
    </row>
    <row r="47" spans="2:6" x14ac:dyDescent="0.3">
      <c r="B47" s="37"/>
      <c r="C47" s="3" t="s">
        <v>43</v>
      </c>
      <c r="D47" s="21"/>
      <c r="E47" s="21">
        <v>0</v>
      </c>
      <c r="F47" s="25"/>
    </row>
    <row r="48" spans="2:6" x14ac:dyDescent="0.3">
      <c r="B48" s="37"/>
      <c r="C48" s="3" t="s">
        <v>44</v>
      </c>
      <c r="D48" s="21"/>
      <c r="E48" s="21">
        <v>0</v>
      </c>
      <c r="F48" s="25"/>
    </row>
    <row r="49" spans="2:6" x14ac:dyDescent="0.3">
      <c r="B49" s="37"/>
      <c r="C49" s="3" t="s">
        <v>45</v>
      </c>
      <c r="D49" s="21"/>
      <c r="E49" s="21">
        <v>0</v>
      </c>
      <c r="F49" s="25"/>
    </row>
    <row r="50" spans="2:6" x14ac:dyDescent="0.3">
      <c r="B50" s="37"/>
      <c r="C50" s="3" t="s">
        <v>46</v>
      </c>
      <c r="D50" s="21"/>
      <c r="E50" s="21">
        <v>0</v>
      </c>
      <c r="F50" s="25"/>
    </row>
    <row r="51" spans="2:6" x14ac:dyDescent="0.3">
      <c r="B51" s="37"/>
      <c r="C51" s="3" t="s">
        <v>47</v>
      </c>
      <c r="D51" s="21"/>
      <c r="E51" s="21">
        <v>0</v>
      </c>
      <c r="F51" s="25"/>
    </row>
    <row r="52" spans="2:6" x14ac:dyDescent="0.3">
      <c r="B52" s="37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7"/>
      <c r="C53" s="3" t="s">
        <v>49</v>
      </c>
      <c r="D53" s="21"/>
      <c r="E53" s="21">
        <v>0</v>
      </c>
      <c r="F53" s="25"/>
    </row>
    <row r="54" spans="2:6" x14ac:dyDescent="0.3">
      <c r="B54" s="37"/>
      <c r="C54" s="3" t="s">
        <v>50</v>
      </c>
      <c r="D54" s="21"/>
      <c r="E54" s="21">
        <v>1</v>
      </c>
      <c r="F54" s="25"/>
    </row>
    <row r="55" spans="2:6" x14ac:dyDescent="0.3">
      <c r="B55" s="37"/>
      <c r="C55" s="3" t="s">
        <v>51</v>
      </c>
      <c r="D55" s="21"/>
      <c r="E55" s="22">
        <v>9.9999999999999995E-8</v>
      </c>
      <c r="F55" s="25"/>
    </row>
    <row r="56" spans="2:6" x14ac:dyDescent="0.3">
      <c r="B56" s="37"/>
      <c r="C56" s="3" t="s">
        <v>52</v>
      </c>
      <c r="D56" s="21"/>
      <c r="E56" s="22">
        <v>2.5000000000000001E-11</v>
      </c>
      <c r="F56" s="25"/>
    </row>
    <row r="57" spans="2:6" x14ac:dyDescent="0.3">
      <c r="B57" s="37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opLeftCell="A28" zoomScaleNormal="100" workbookViewId="0">
      <selection activeCell="E35" sqref="E35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41" t="s">
        <v>0</v>
      </c>
      <c r="C3" s="41"/>
      <c r="D3" s="41"/>
      <c r="E3" s="42" t="s">
        <v>1</v>
      </c>
      <c r="F3" s="42"/>
      <c r="G3" s="42"/>
      <c r="H3" s="42"/>
      <c r="I3" s="42"/>
      <c r="J3" s="42"/>
      <c r="K3" s="42"/>
      <c r="L3" s="42"/>
    </row>
    <row r="4" spans="2:20" x14ac:dyDescent="0.3">
      <c r="B4" s="37" t="s">
        <v>8</v>
      </c>
      <c r="C4" s="42" t="s">
        <v>56</v>
      </c>
      <c r="D4" s="42"/>
      <c r="E4" s="31"/>
      <c r="F4" s="7"/>
      <c r="G4" s="7"/>
    </row>
    <row r="5" spans="2:20" x14ac:dyDescent="0.3">
      <c r="B5" s="37"/>
      <c r="C5" s="37" t="s">
        <v>9</v>
      </c>
      <c r="D5" s="37"/>
      <c r="E5" s="3">
        <v>1</v>
      </c>
    </row>
    <row r="6" spans="2:20" x14ac:dyDescent="0.3">
      <c r="B6" s="37"/>
      <c r="C6" s="42" t="s">
        <v>57</v>
      </c>
      <c r="D6" s="42"/>
      <c r="E6" s="3"/>
      <c r="N6" s="9"/>
      <c r="O6" s="9"/>
      <c r="P6" s="9"/>
      <c r="Q6" s="9"/>
    </row>
    <row r="7" spans="2:20" x14ac:dyDescent="0.3">
      <c r="B7" s="37"/>
      <c r="C7" s="37" t="s">
        <v>11</v>
      </c>
      <c r="D7" s="37"/>
      <c r="E7" s="33">
        <v>8.6999999999999994E-3</v>
      </c>
      <c r="O7" s="9"/>
      <c r="P7" s="9"/>
      <c r="Q7" s="9"/>
      <c r="R7" s="9"/>
    </row>
    <row r="8" spans="2:20" x14ac:dyDescent="0.3">
      <c r="B8" s="37"/>
      <c r="C8" s="37" t="s">
        <v>12</v>
      </c>
      <c r="D8" s="37"/>
      <c r="E8" s="33">
        <v>8.6999999999999994E-3</v>
      </c>
      <c r="K8" s="9"/>
      <c r="L8" s="9"/>
      <c r="M8" s="9"/>
      <c r="N8" s="9"/>
    </row>
    <row r="9" spans="2:20" x14ac:dyDescent="0.3">
      <c r="B9" s="37"/>
      <c r="C9" s="42" t="s">
        <v>58</v>
      </c>
      <c r="D9" s="42"/>
      <c r="E9" s="2"/>
      <c r="L9" s="9"/>
      <c r="M9" s="9"/>
      <c r="N9" s="9"/>
      <c r="O9" s="9"/>
    </row>
    <row r="10" spans="2:20" x14ac:dyDescent="0.3">
      <c r="B10" s="37"/>
      <c r="C10" s="37" t="s">
        <v>59</v>
      </c>
      <c r="D10" s="3" t="s">
        <v>9</v>
      </c>
      <c r="E10" s="3">
        <v>4</v>
      </c>
      <c r="F10" s="3"/>
    </row>
    <row r="11" spans="2:20" x14ac:dyDescent="0.3">
      <c r="B11" s="37"/>
      <c r="C11" s="37"/>
      <c r="D11" s="3" t="s">
        <v>60</v>
      </c>
      <c r="E11" s="2">
        <v>1.7999999999999999E-8</v>
      </c>
      <c r="F11" s="29"/>
      <c r="I11" s="35"/>
      <c r="J11" s="35"/>
      <c r="K11" s="35"/>
      <c r="L11" s="35"/>
      <c r="M11" s="35"/>
    </row>
    <row r="12" spans="2:20" x14ac:dyDescent="0.3">
      <c r="B12" s="37"/>
      <c r="C12" s="37"/>
      <c r="D12" s="3" t="s">
        <v>61</v>
      </c>
      <c r="E12" s="34">
        <v>1.8</v>
      </c>
      <c r="F12" s="34">
        <v>1.8</v>
      </c>
      <c r="G12" s="34">
        <v>1.8</v>
      </c>
      <c r="H12" s="34">
        <v>0.4</v>
      </c>
      <c r="I12" s="35"/>
      <c r="J12" s="35"/>
      <c r="K12" s="35"/>
      <c r="L12" s="35"/>
      <c r="M12" s="35"/>
    </row>
    <row r="13" spans="2:20" x14ac:dyDescent="0.3">
      <c r="B13" s="37"/>
      <c r="C13" s="37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36"/>
      <c r="J13" s="36"/>
      <c r="K13" s="36"/>
      <c r="L13" s="36"/>
      <c r="M13" s="36"/>
      <c r="N13" s="9"/>
      <c r="O13" s="9"/>
      <c r="P13" s="9"/>
      <c r="Q13" s="9"/>
      <c r="R13" s="9"/>
      <c r="S13" s="9"/>
      <c r="T13" s="9"/>
    </row>
    <row r="14" spans="2:20" x14ac:dyDescent="0.3">
      <c r="B14" s="37"/>
      <c r="C14" s="37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36"/>
      <c r="J14" s="36"/>
      <c r="K14" s="36"/>
      <c r="L14" s="36"/>
      <c r="M14" s="36"/>
      <c r="N14" s="9"/>
      <c r="O14" s="9"/>
      <c r="P14" s="9"/>
      <c r="Q14" s="9"/>
      <c r="R14" s="9"/>
      <c r="S14" s="9"/>
      <c r="T14" s="9"/>
    </row>
    <row r="15" spans="2:20" x14ac:dyDescent="0.3">
      <c r="B15" s="37"/>
      <c r="C15" s="42" t="s">
        <v>63</v>
      </c>
      <c r="D15" s="42"/>
      <c r="E15" s="34"/>
      <c r="F15" s="34"/>
      <c r="G15" s="34"/>
      <c r="H15" s="34"/>
      <c r="I15" s="35"/>
      <c r="J15" s="35"/>
      <c r="K15" s="35"/>
      <c r="L15" s="35"/>
      <c r="M15" s="35"/>
    </row>
    <row r="16" spans="2:20" x14ac:dyDescent="0.3">
      <c r="B16" s="37"/>
      <c r="C16" s="37" t="s">
        <v>64</v>
      </c>
      <c r="D16" s="3" t="s">
        <v>65</v>
      </c>
      <c r="E16" s="34">
        <v>0.42530000000000001</v>
      </c>
      <c r="F16" s="34">
        <v>0.42530000000000001</v>
      </c>
      <c r="G16" s="34">
        <v>0.189</v>
      </c>
      <c r="H16" s="34">
        <v>0</v>
      </c>
      <c r="I16" s="35"/>
      <c r="J16" s="35"/>
      <c r="K16" s="35"/>
      <c r="L16" s="35"/>
      <c r="M16" s="35"/>
    </row>
    <row r="17" spans="2:20" x14ac:dyDescent="0.3">
      <c r="B17" s="37"/>
      <c r="C17" s="37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36"/>
      <c r="J17" s="36"/>
      <c r="K17" s="36"/>
      <c r="L17" s="36"/>
      <c r="M17" s="36"/>
      <c r="N17" s="9"/>
      <c r="O17" s="9"/>
      <c r="P17" s="9"/>
      <c r="Q17" s="9"/>
      <c r="R17" s="9"/>
      <c r="S17" s="9"/>
      <c r="T17" s="9"/>
    </row>
    <row r="18" spans="2:20" x14ac:dyDescent="0.3">
      <c r="B18" s="37"/>
      <c r="C18" s="42" t="s">
        <v>66</v>
      </c>
      <c r="D18" s="42"/>
      <c r="E18" s="3"/>
      <c r="I18" s="35"/>
      <c r="J18" s="35"/>
      <c r="K18" s="35"/>
      <c r="L18" s="35"/>
      <c r="M18" s="35"/>
    </row>
    <row r="19" spans="2:20" x14ac:dyDescent="0.3">
      <c r="B19" s="37"/>
      <c r="C19" s="37" t="s">
        <v>67</v>
      </c>
      <c r="D19" s="37"/>
      <c r="E19" s="3">
        <v>0.05</v>
      </c>
      <c r="F19" s="3"/>
    </row>
    <row r="20" spans="2:20" x14ac:dyDescent="0.3">
      <c r="B20" s="37"/>
      <c r="C20" s="37" t="s">
        <v>68</v>
      </c>
      <c r="D20" s="37"/>
      <c r="E20" s="2">
        <v>8.9999999999999999E-10</v>
      </c>
      <c r="F20" s="11"/>
    </row>
    <row r="21" spans="2:20" x14ac:dyDescent="0.3">
      <c r="B21" s="37"/>
      <c r="C21" s="42" t="s">
        <v>69</v>
      </c>
      <c r="D21" s="42"/>
      <c r="E21" s="23"/>
      <c r="F21" s="24"/>
      <c r="G21" s="24"/>
      <c r="H21" s="24"/>
      <c r="I21" s="24"/>
      <c r="J21" s="24"/>
    </row>
    <row r="22" spans="2:20" x14ac:dyDescent="0.3">
      <c r="B22" s="37"/>
      <c r="C22" s="37" t="s">
        <v>70</v>
      </c>
      <c r="D22" s="37"/>
      <c r="E22" s="2">
        <v>0.5</v>
      </c>
      <c r="F22" s="6"/>
    </row>
    <row r="23" spans="2:20" x14ac:dyDescent="0.3">
      <c r="B23" s="37"/>
      <c r="C23" s="37" t="s">
        <v>71</v>
      </c>
      <c r="D23" s="37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7"/>
      <c r="C24" s="37"/>
      <c r="D24" s="37"/>
      <c r="E24" s="2"/>
      <c r="F24" s="10"/>
      <c r="G24" s="1"/>
      <c r="H24" s="1"/>
      <c r="I24" s="1"/>
      <c r="J24" s="3"/>
    </row>
    <row r="25" spans="2:20" x14ac:dyDescent="0.3">
      <c r="B25" s="37"/>
      <c r="C25" s="42" t="s">
        <v>76</v>
      </c>
      <c r="D25" s="42"/>
      <c r="E25" s="27"/>
      <c r="F25" s="28"/>
      <c r="G25" s="28"/>
      <c r="H25" s="28"/>
      <c r="I25" s="28"/>
      <c r="J25" s="28"/>
    </row>
    <row r="26" spans="2:20" x14ac:dyDescent="0.3">
      <c r="B26" s="37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7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3">
      <c r="B28" s="37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7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7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7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7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7"/>
      <c r="C33" s="42" t="s">
        <v>78</v>
      </c>
      <c r="D33" s="42"/>
      <c r="E33" s="2"/>
      <c r="F33" s="28"/>
      <c r="G33" s="28"/>
      <c r="H33" s="28"/>
      <c r="I33" s="28"/>
      <c r="J33" s="28"/>
    </row>
    <row r="34" spans="2:10" x14ac:dyDescent="0.3">
      <c r="B34" s="37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7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7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7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7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7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7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7"/>
      <c r="C41" s="42" t="s">
        <v>80</v>
      </c>
      <c r="D41" s="42"/>
      <c r="E41" s="2"/>
      <c r="F41" s="28"/>
      <c r="G41" s="28"/>
      <c r="H41" s="28"/>
      <c r="I41" s="28"/>
      <c r="J41" s="28"/>
    </row>
    <row r="42" spans="2:10" x14ac:dyDescent="0.3">
      <c r="B42" s="37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7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7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7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7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7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7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7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7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7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7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7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7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zoomScaleNormal="100" workbookViewId="0">
      <selection activeCell="C9" sqref="C9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4" x14ac:dyDescent="0.3">
      <c r="B3" s="43" t="s">
        <v>88</v>
      </c>
      <c r="C3" s="43"/>
    </row>
    <row r="4" spans="2:4" x14ac:dyDescent="0.3">
      <c r="B4" s="32" t="s">
        <v>89</v>
      </c>
      <c r="C4" s="32" t="s">
        <v>1</v>
      </c>
    </row>
    <row r="5" spans="2:4" x14ac:dyDescent="0.3">
      <c r="B5" t="s">
        <v>90</v>
      </c>
      <c r="C5" s="18">
        <v>1.0000000000000001E-5</v>
      </c>
    </row>
    <row r="6" spans="2:4" x14ac:dyDescent="0.3">
      <c r="B6" t="s">
        <v>91</v>
      </c>
      <c r="C6" s="18">
        <v>0</v>
      </c>
    </row>
    <row r="8" spans="2:4" x14ac:dyDescent="0.3">
      <c r="B8" s="13" t="s">
        <v>92</v>
      </c>
    </row>
    <row r="9" spans="2:4" x14ac:dyDescent="0.3">
      <c r="B9" t="s">
        <v>126</v>
      </c>
      <c r="C9" s="18">
        <f>0.001*26.3107634304939</f>
        <v>2.6310763430493902E-2</v>
      </c>
      <c r="D9" s="18">
        <f>0.001*21.7426837726853</f>
        <v>2.17426837726853E-2</v>
      </c>
    </row>
    <row r="10" spans="2:4" x14ac:dyDescent="0.3">
      <c r="B10" t="s">
        <v>93</v>
      </c>
      <c r="C10" s="18">
        <v>0</v>
      </c>
    </row>
    <row r="11" spans="2:4" x14ac:dyDescent="0.3">
      <c r="B11" t="s">
        <v>94</v>
      </c>
      <c r="C11" s="17">
        <v>214.24960129696504</v>
      </c>
    </row>
    <row r="12" spans="2:4" x14ac:dyDescent="0.3">
      <c r="B12" t="s">
        <v>95</v>
      </c>
      <c r="C12" s="17">
        <v>3.7621133024499995</v>
      </c>
    </row>
    <row r="13" spans="2:4" x14ac:dyDescent="0.3">
      <c r="C13" s="17"/>
    </row>
    <row r="14" spans="2:4" x14ac:dyDescent="0.3">
      <c r="B14" s="13" t="s">
        <v>96</v>
      </c>
      <c r="C14" s="17"/>
    </row>
    <row r="15" spans="2:4" x14ac:dyDescent="0.3">
      <c r="B15" s="13" t="s">
        <v>97</v>
      </c>
      <c r="C15" s="17"/>
    </row>
    <row r="16" spans="2:4" x14ac:dyDescent="0.3">
      <c r="B16" t="s">
        <v>98</v>
      </c>
      <c r="C16" s="18">
        <v>1E-4</v>
      </c>
    </row>
    <row r="17" spans="2:3" x14ac:dyDescent="0.3">
      <c r="B17" t="s">
        <v>99</v>
      </c>
      <c r="C17" s="18">
        <v>1E-4</v>
      </c>
    </row>
    <row r="18" spans="2:3" x14ac:dyDescent="0.3">
      <c r="B18" t="s">
        <v>100</v>
      </c>
      <c r="C18" s="17">
        <v>11169</v>
      </c>
    </row>
    <row r="19" spans="2:3" x14ac:dyDescent="0.3">
      <c r="B19" t="s">
        <v>101</v>
      </c>
      <c r="C19" s="17">
        <v>153</v>
      </c>
    </row>
    <row r="20" spans="2:3" x14ac:dyDescent="0.3">
      <c r="B20" t="s">
        <v>102</v>
      </c>
      <c r="C20" s="17">
        <v>73</v>
      </c>
    </row>
    <row r="21" spans="2:3" x14ac:dyDescent="0.3">
      <c r="B21" t="s">
        <v>103</v>
      </c>
      <c r="C21" s="18">
        <f>0.001*0.139037297154397</f>
        <v>1.3903729715439701E-4</v>
      </c>
    </row>
    <row r="22" spans="2:3" x14ac:dyDescent="0.3">
      <c r="B22" t="s">
        <v>104</v>
      </c>
      <c r="C22" s="18">
        <f>0.001*0.000460377026727918</f>
        <v>4.6037702672791799E-7</v>
      </c>
    </row>
    <row r="23" spans="2:3" x14ac:dyDescent="0.3">
      <c r="B23" t="s">
        <v>105</v>
      </c>
      <c r="C23" s="18">
        <f>0.001*0.000414425813244431</f>
        <v>4.1442581324443099E-7</v>
      </c>
    </row>
    <row r="24" spans="2:3" x14ac:dyDescent="0.3">
      <c r="B24" t="s">
        <v>106</v>
      </c>
      <c r="C24" s="17">
        <v>9.4286591765153568E-3</v>
      </c>
    </row>
    <row r="25" spans="2:3" x14ac:dyDescent="0.3">
      <c r="B25" t="s">
        <v>107</v>
      </c>
      <c r="C25" s="18">
        <f>0.001*20.7591227016491</f>
        <v>2.0759122701649101E-2</v>
      </c>
    </row>
    <row r="26" spans="2:3" x14ac:dyDescent="0.3">
      <c r="B26" t="s">
        <v>108</v>
      </c>
      <c r="C26" s="18">
        <f>0.001*0.783561071036224</f>
        <v>7.83561071036224E-4</v>
      </c>
    </row>
    <row r="27" spans="2:3" x14ac:dyDescent="0.3">
      <c r="B27" t="s">
        <v>109</v>
      </c>
      <c r="C27" s="18">
        <f>0.001*20.4860054477846</f>
        <v>2.0486005447784599E-2</v>
      </c>
    </row>
    <row r="28" spans="2:3" x14ac:dyDescent="0.3">
      <c r="B28" t="s">
        <v>110</v>
      </c>
      <c r="C28" s="18">
        <f>0.001*1.05667832490076</f>
        <v>1.0566783249007601E-3</v>
      </c>
    </row>
    <row r="29" spans="2:3" x14ac:dyDescent="0.3">
      <c r="B29" t="s">
        <v>111</v>
      </c>
      <c r="C29" s="18">
        <f>C10</f>
        <v>0</v>
      </c>
    </row>
    <row r="30" spans="2:3" x14ac:dyDescent="0.3">
      <c r="B30" t="s">
        <v>112</v>
      </c>
      <c r="C30" s="17">
        <v>1.2839031446085938</v>
      </c>
    </row>
    <row r="31" spans="2:3" x14ac:dyDescent="0.3">
      <c r="B31" t="s">
        <v>113</v>
      </c>
      <c r="C31" s="17">
        <v>0.20378759670715335</v>
      </c>
    </row>
    <row r="32" spans="2:3" x14ac:dyDescent="0.3">
      <c r="C32" s="17"/>
    </row>
    <row r="33" spans="2:3" x14ac:dyDescent="0.3">
      <c r="B33" s="13" t="s">
        <v>114</v>
      </c>
      <c r="C33" s="17"/>
    </row>
    <row r="34" spans="2:3" x14ac:dyDescent="0.3">
      <c r="B34" t="s">
        <v>115</v>
      </c>
      <c r="C34" s="18">
        <v>1E-4</v>
      </c>
    </row>
    <row r="35" spans="2:3" x14ac:dyDescent="0.3">
      <c r="B35" t="s">
        <v>116</v>
      </c>
      <c r="C35" s="18">
        <v>1E-4</v>
      </c>
    </row>
    <row r="36" spans="2:3" x14ac:dyDescent="0.3">
      <c r="B36" t="s">
        <v>117</v>
      </c>
      <c r="C36" s="17">
        <v>11520</v>
      </c>
    </row>
    <row r="37" spans="2:3" x14ac:dyDescent="0.3">
      <c r="B37" t="s">
        <v>118</v>
      </c>
      <c r="C37" s="17">
        <v>160</v>
      </c>
    </row>
    <row r="38" spans="2:3" x14ac:dyDescent="0.3">
      <c r="B38" t="s">
        <v>119</v>
      </c>
      <c r="C38" s="17">
        <v>72</v>
      </c>
    </row>
    <row r="39" spans="2:3" x14ac:dyDescent="0.3">
      <c r="B39" t="s">
        <v>120</v>
      </c>
      <c r="C39" s="18">
        <f>0.001*0.0285363277244988</f>
        <v>2.8536327724498803E-5</v>
      </c>
    </row>
    <row r="40" spans="2:3" x14ac:dyDescent="0.3">
      <c r="B40" t="s">
        <v>121</v>
      </c>
      <c r="C40" s="18">
        <f>0.001*0.105514914067708</f>
        <v>1.0551491406770799E-4</v>
      </c>
    </row>
    <row r="41" spans="2:3" x14ac:dyDescent="0.3">
      <c r="B41" t="s">
        <v>122</v>
      </c>
      <c r="C41" s="18">
        <f>0.001*0.000414425813244431</f>
        <v>4.1442581324443099E-7</v>
      </c>
    </row>
    <row r="42" spans="2:3" x14ac:dyDescent="0.3">
      <c r="B42" t="s">
        <v>123</v>
      </c>
      <c r="C42" s="17">
        <v>1.63286167641059E-4</v>
      </c>
    </row>
    <row r="43" spans="2:3" x14ac:dyDescent="0.3">
      <c r="B43" t="s">
        <v>124</v>
      </c>
      <c r="C43" s="18">
        <f>C10</f>
        <v>0</v>
      </c>
    </row>
    <row r="44" spans="2:3" x14ac:dyDescent="0.3">
      <c r="B44" t="s">
        <v>125</v>
      </c>
      <c r="C44" s="18">
        <f>0.001*4.56807965780854</f>
        <v>4.5680796578085403E-3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Ankit Kaul</cp:lastModifiedBy>
  <cp:revision/>
  <dcterms:created xsi:type="dcterms:W3CDTF">2015-06-05T18:17:20Z</dcterms:created>
  <dcterms:modified xsi:type="dcterms:W3CDTF">2022-11-12T19:52:13Z</dcterms:modified>
  <cp:category/>
  <cp:contentStatus/>
</cp:coreProperties>
</file>