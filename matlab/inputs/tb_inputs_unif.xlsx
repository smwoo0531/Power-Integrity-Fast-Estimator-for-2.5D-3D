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kaul33_gatech_edu/Documents/phd_files/projects/pdn_3D_CIM/new_paper_sims/inputs/"/>
    </mc:Choice>
  </mc:AlternateContent>
  <xr:revisionPtr revIDLastSave="190" documentId="13_ncr:1_{FDDD1D5F-B2A7-4059-BADB-615B92438827}" xr6:coauthVersionLast="47" xr6:coauthVersionMax="47" xr10:uidLastSave="{04320784-4531-4594-9450-3C2D1102904A}"/>
  <bookViews>
    <workbookView xWindow="-108" yWindow="-108" windowWidth="23256" windowHeight="12456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1" i="6"/>
  <c r="C40" i="6"/>
  <c r="C28" i="6"/>
  <c r="C27" i="6"/>
  <c r="C26" i="6"/>
  <c r="C25" i="6"/>
  <c r="C23" i="6"/>
  <c r="C22" i="6"/>
  <c r="C9" i="6"/>
  <c r="C39" i="6"/>
  <c r="C21" i="6"/>
  <c r="C29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<sst xmlns="http://schemas.openxmlformats.org/spreadsheetml/2006/main" count="214" uniqueCount="127">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</sst>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abSelected="1" topLeftCell="A36" zoomScale="115" zoomScaleNormal="115" workbookViewId="0">
      <selection activeCell="E58" sqref="E58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zoomScaleNormal="100" workbookViewId="0">
      <selection activeCell="E26" sqref="E26:J26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0" x14ac:dyDescent="0.3">
      <c r="B2" s="3" t="s">
        <v>55</v>
      </c>
      <c r="C2" s="3">
        <v>1</v>
      </c>
    </row>
    <row r="3" spans="2:20" x14ac:dyDescent="0.3">
      <c r="B3" s="38" t="s">
        <v>0</v>
      </c>
      <c r="C3" s="38"/>
      <c r="D3" s="38"/>
      <c r="E3" s="39" t="s">
        <v>1</v>
      </c>
      <c r="F3" s="39"/>
      <c r="G3" s="39"/>
      <c r="H3" s="39"/>
      <c r="I3" s="39"/>
      <c r="J3" s="39"/>
      <c r="K3" s="39"/>
      <c r="L3" s="39"/>
    </row>
    <row r="4" spans="2:20" x14ac:dyDescent="0.3">
      <c r="B4" s="34" t="s">
        <v>8</v>
      </c>
      <c r="C4" s="39" t="s">
        <v>56</v>
      </c>
      <c r="D4" s="39"/>
      <c r="E4" s="31"/>
      <c r="F4" s="7"/>
      <c r="G4" s="7"/>
    </row>
    <row r="5" spans="2:20" x14ac:dyDescent="0.3">
      <c r="B5" s="34"/>
      <c r="C5" s="34" t="s">
        <v>9</v>
      </c>
      <c r="D5" s="34"/>
      <c r="E5" s="3">
        <v>2</v>
      </c>
    </row>
    <row r="6" spans="2:20" x14ac:dyDescent="0.3">
      <c r="B6" s="34"/>
      <c r="C6" s="39" t="s">
        <v>57</v>
      </c>
      <c r="D6" s="39"/>
      <c r="E6" s="3"/>
      <c r="N6" s="9"/>
      <c r="O6" s="9"/>
      <c r="P6" s="9"/>
      <c r="Q6" s="9"/>
    </row>
    <row r="7" spans="2:20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0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0" x14ac:dyDescent="0.3">
      <c r="B9" s="34"/>
      <c r="C9" s="39" t="s">
        <v>58</v>
      </c>
      <c r="D9" s="39"/>
      <c r="E9" s="2"/>
      <c r="L9" s="9"/>
      <c r="M9" s="9"/>
      <c r="N9" s="9"/>
      <c r="O9" s="9"/>
    </row>
    <row r="10" spans="2:20" x14ac:dyDescent="0.3">
      <c r="B10" s="34"/>
      <c r="C10" s="34" t="s">
        <v>59</v>
      </c>
      <c r="D10" s="3" t="s">
        <v>9</v>
      </c>
      <c r="E10" s="3">
        <v>4</v>
      </c>
      <c r="F10" s="3">
        <v>4</v>
      </c>
    </row>
    <row r="11" spans="2:20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</row>
    <row r="12" spans="2:20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</row>
    <row r="13" spans="2:20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x14ac:dyDescent="0.3">
      <c r="B15" s="34"/>
      <c r="C15" s="39" t="s">
        <v>63</v>
      </c>
      <c r="D15" s="39"/>
      <c r="E15" s="3"/>
    </row>
    <row r="16" spans="2:20" x14ac:dyDescent="0.3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</row>
    <row r="17" spans="2:20" x14ac:dyDescent="0.3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9"/>
      <c r="N17" s="9"/>
      <c r="O17" s="9"/>
      <c r="P17" s="9"/>
      <c r="Q17" s="9"/>
      <c r="R17" s="9"/>
      <c r="S17" s="9"/>
      <c r="T17" s="9"/>
    </row>
    <row r="18" spans="2:20" x14ac:dyDescent="0.3">
      <c r="B18" s="34"/>
      <c r="C18" s="39" t="s">
        <v>66</v>
      </c>
      <c r="D18" s="39"/>
      <c r="E18" s="3"/>
    </row>
    <row r="19" spans="2:20" x14ac:dyDescent="0.3">
      <c r="B19" s="34"/>
      <c r="C19" s="34" t="s">
        <v>67</v>
      </c>
      <c r="D19" s="34"/>
      <c r="E19" s="3">
        <v>0.05</v>
      </c>
      <c r="F19" s="3">
        <v>0.05</v>
      </c>
    </row>
    <row r="20" spans="2:20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</row>
    <row r="21" spans="2:20" x14ac:dyDescent="0.3">
      <c r="B21" s="34"/>
      <c r="C21" s="39" t="s">
        <v>69</v>
      </c>
      <c r="D21" s="39"/>
      <c r="E21" s="23"/>
      <c r="F21" s="24"/>
      <c r="G21" s="24"/>
      <c r="H21" s="24"/>
      <c r="I21" s="24"/>
      <c r="J21" s="24"/>
    </row>
    <row r="22" spans="2:20" x14ac:dyDescent="0.3">
      <c r="B22" s="34"/>
      <c r="C22" s="34" t="s">
        <v>70</v>
      </c>
      <c r="D22" s="34"/>
      <c r="E22" s="2">
        <v>0.5</v>
      </c>
      <c r="F22" s="6">
        <v>0.5</v>
      </c>
    </row>
    <row r="23" spans="2:20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0" x14ac:dyDescent="0.3">
      <c r="B25" s="34"/>
      <c r="C25" s="39" t="s">
        <v>76</v>
      </c>
      <c r="D25" s="39"/>
      <c r="E25" s="27"/>
      <c r="F25" s="28"/>
      <c r="G25" s="28"/>
      <c r="H25" s="28"/>
      <c r="I25" s="28"/>
      <c r="J25" s="28"/>
    </row>
    <row r="26" spans="2:20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0" x14ac:dyDescent="0.3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0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0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0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0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0" x14ac:dyDescent="0.3">
      <c r="B32" s="34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4"/>
      <c r="C33" s="39" t="s">
        <v>78</v>
      </c>
      <c r="D33" s="39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9" t="s">
        <v>80</v>
      </c>
      <c r="D41" s="39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topLeftCell="A22" zoomScaleNormal="100" workbookViewId="0">
      <selection activeCell="C45" sqref="C45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0.001*9.69668503317658</f>
        <v>9.6966850331765796E-3</v>
      </c>
    </row>
    <row r="10" spans="2:3" x14ac:dyDescent="0.3">
      <c r="B10" t="s">
        <v>94</v>
      </c>
      <c r="C10" s="18">
        <v>0</v>
      </c>
    </row>
    <row r="11" spans="2:3" x14ac:dyDescent="0.3">
      <c r="B11" t="s">
        <v>95</v>
      </c>
      <c r="C11" s="17">
        <v>114.85</v>
      </c>
    </row>
    <row r="12" spans="2:3" x14ac:dyDescent="0.3">
      <c r="B12" t="s">
        <v>96</v>
      </c>
      <c r="C12" s="17">
        <v>3.76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10858</v>
      </c>
    </row>
    <row r="19" spans="2:3" x14ac:dyDescent="0.3">
      <c r="B19" t="s">
        <v>102</v>
      </c>
      <c r="C19" s="17">
        <v>178</v>
      </c>
    </row>
    <row r="20" spans="2:3" x14ac:dyDescent="0.3">
      <c r="B20" t="s">
        <v>103</v>
      </c>
      <c r="C20" s="17">
        <v>61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0.001*0.000200162031230472</f>
        <v>2.00162031230472E-7</v>
      </c>
    </row>
    <row r="23" spans="2:3" x14ac:dyDescent="0.3">
      <c r="B23" t="s">
        <v>106</v>
      </c>
      <c r="C23" s="18">
        <f>0.001*0.0208884879778669</f>
        <v>2.0888487977866899E-5</v>
      </c>
    </row>
    <row r="24" spans="2:3" x14ac:dyDescent="0.3">
      <c r="B24" t="s">
        <v>107</v>
      </c>
      <c r="C24" s="17">
        <v>5.2521926769125756E-3</v>
      </c>
    </row>
    <row r="25" spans="2:3" x14ac:dyDescent="0.3">
      <c r="B25" t="s">
        <v>108</v>
      </c>
      <c r="C25" s="18">
        <f>0.001*9.25422122669881</f>
        <v>9.2542212266988107E-3</v>
      </c>
    </row>
    <row r="26" spans="2:3" x14ac:dyDescent="0.3">
      <c r="B26" t="s">
        <v>109</v>
      </c>
      <c r="C26" s="18">
        <f>0.001*0.242463806477768</f>
        <v>2.42463806477768E-4</v>
      </c>
    </row>
    <row r="27" spans="2:3" x14ac:dyDescent="0.3">
      <c r="B27" t="s">
        <v>110</v>
      </c>
      <c r="C27" s="18">
        <f>0.001*9.3507451536602</f>
        <v>9.3507451536602015E-3</v>
      </c>
    </row>
    <row r="28" spans="2:3" x14ac:dyDescent="0.3">
      <c r="B28" t="s">
        <v>111</v>
      </c>
      <c r="C28" s="18">
        <f>0.001*0.345939879516371</f>
        <v>3.45939879516371E-4</v>
      </c>
    </row>
    <row r="29" spans="2:3" x14ac:dyDescent="0.3">
      <c r="B29" t="s">
        <v>112</v>
      </c>
      <c r="C29" s="18">
        <f>C10</f>
        <v>0</v>
      </c>
    </row>
    <row r="30" spans="2:3" x14ac:dyDescent="0.3">
      <c r="B30" t="s">
        <v>113</v>
      </c>
      <c r="C30" s="17">
        <v>0.35158046408625004</v>
      </c>
    </row>
    <row r="31" spans="2:3" x14ac:dyDescent="0.3">
      <c r="B31" t="s">
        <v>114</v>
      </c>
      <c r="C31" s="17">
        <v>4.4713770097656251E-2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0.001*0.0297539157060174</f>
        <v>2.9753915706017399E-5</v>
      </c>
    </row>
    <row r="41" spans="2:3" x14ac:dyDescent="0.3">
      <c r="B41" t="s">
        <v>123</v>
      </c>
      <c r="C41" s="18">
        <f>0.001*0.0351229143721743</f>
        <v>3.5122914372174304E-5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0</v>
      </c>
    </row>
    <row r="44" spans="2:3" x14ac:dyDescent="0.3">
      <c r="B44" t="s">
        <v>126</v>
      </c>
      <c r="C44" s="18">
        <f>0.001*9.49668503317658</f>
        <v>9.4966850331765808E-3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Ankit Kaul</cp:lastModifiedBy>
  <cp:revision/>
  <dcterms:created xsi:type="dcterms:W3CDTF">2015-06-05T18:17:20Z</dcterms:created>
  <dcterms:modified xsi:type="dcterms:W3CDTF">2022-11-21T13:08:04Z</dcterms:modified>
  <cp:category/>
  <cp:contentStatus/>
</cp:coreProperties>
</file>